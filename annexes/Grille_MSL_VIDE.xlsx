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résence" sheetId="1" state="visible" r:id="rId2"/>
    <sheet name="Synthèse Notes" sheetId="2" state="visible" r:id="rId3"/>
    <sheet name="Nom etudiant" sheetId="3" state="visible" r:id="rId4"/>
    <sheet name="Nom etudiant 2" sheetId="4" state="visible" r:id="rId5"/>
    <sheet name="Nom etudiant_2" sheetId="5" state="visible" r:id="rId6"/>
    <sheet name="Nom etudiant 2_2" sheetId="6" state="visible" r:id="rId7"/>
    <sheet name="Notes" sheetId="7"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<sst xmlns="http://schemas.openxmlformats.org/spreadsheetml/2006/main" count="327" uniqueCount="124">
  <si>
    <t xml:space="preserve">Présence</t>
  </si>
  <si>
    <t xml:space="preserve">Date 1</t>
  </si>
  <si>
    <t xml:space="preserve">Date 2</t>
  </si>
  <si>
    <t xml:space="preserve">Date 3</t>
  </si>
  <si>
    <t xml:space="preserve">Date 4</t>
  </si>
  <si>
    <t xml:space="preserve">Date 5</t>
  </si>
  <si>
    <t xml:space="preserve">Date 6</t>
  </si>
  <si>
    <t xml:space="preserve">Date 7</t>
  </si>
  <si>
    <t xml:space="preserve">Date 8</t>
  </si>
  <si>
    <t xml:space="preserve">Date 9</t>
  </si>
  <si>
    <t xml:space="preserve">Date 10</t>
  </si>
  <si>
    <t xml:space="preserve">Date 11</t>
  </si>
  <si>
    <t xml:space="preserve">Date 12</t>
  </si>
  <si>
    <t xml:space="preserve">Date 13</t>
  </si>
  <si>
    <t xml:space="preserve">Date 14</t>
  </si>
  <si>
    <t xml:space="preserve">Présence = 1, Absence prévenue et justifiée = 0,5, Absence non prévenue ou justifiée =0</t>
  </si>
  <si>
    <t xml:space="preserve">Participation</t>
  </si>
  <si>
    <t xml:space="preserve">Date 1 /0,5</t>
  </si>
  <si>
    <t xml:space="preserve">Mails /7</t>
  </si>
  <si>
    <t xml:space="preserve">Forum /7</t>
  </si>
  <si>
    <t xml:space="preserve">Lectures /7</t>
  </si>
  <si>
    <t xml:space="preserve">TP</t>
  </si>
  <si>
    <t xml:space="preserve">Article</t>
  </si>
  <si>
    <t xml:space="preserve">Note / 100</t>
  </si>
  <si>
    <t xml:space="preserve">Note /4.3</t>
  </si>
  <si>
    <t xml:space="preserve">Note lettre</t>
  </si>
  <si>
    <t xml:space="preserve">Signification</t>
  </si>
  <si>
    <t xml:space="preserve">Commentaire général</t>
  </si>
  <si>
    <t xml:space="preserve">Nom Étudiant : </t>
  </si>
  <si>
    <t xml:space="preserve">Test</t>
  </si>
  <si>
    <t xml:space="preserve">Critères</t>
  </si>
  <si>
    <t xml:space="preserve">Indicateurs observables</t>
  </si>
  <si>
    <t xml:space="preserve">Points max</t>
  </si>
  <si>
    <t xml:space="preserve">Points obtenus</t>
  </si>
  <si>
    <t xml:space="preserve">Assiduité, ponctualité, participation aux activités</t>
  </si>
  <si>
    <t xml:space="preserve">Engagement</t>
  </si>
  <si>
    <t xml:space="preserve">Préparation des séances, lectures mobilisées, continuité du travail</t>
  </si>
  <si>
    <t xml:space="preserve">Présentation en TD</t>
  </si>
  <si>
    <t xml:space="preserve">Qualité du contenu, structuration, clarté (forme libre)</t>
  </si>
  <si>
    <t xml:space="preserve">Contributions</t>
  </si>
  <si>
    <t xml:space="preserve">Interventions orales ou écrites (forum, documents partagés)</t>
  </si>
  <si>
    <t xml:space="preserve">Interaction avec le groupe</t>
  </si>
  <si>
    <t xml:space="preserve">Écoute, feedback, collaboration, soutien aux pairs</t>
  </si>
  <si>
    <t xml:space="preserve">Commentaire</t>
  </si>
  <si>
    <t xml:space="preserve">Points obtenus </t>
  </si>
  <si>
    <t xml:space="preserve">TP 1</t>
  </si>
  <si>
    <t xml:space="preserve">TP 2</t>
  </si>
  <si>
    <t xml:space="preserve">TP 3</t>
  </si>
  <si>
    <t xml:space="preserve">TP 4</t>
  </si>
  <si>
    <t xml:space="preserve">TP 5</t>
  </si>
  <si>
    <t xml:space="preserve">TP 6</t>
  </si>
  <si>
    <t xml:space="preserve">TP 7</t>
  </si>
  <si>
    <t xml:space="preserve">TP 8</t>
  </si>
  <si>
    <t xml:space="preserve">TP 9</t>
  </si>
  <si>
    <t xml:space="preserve">TP 10</t>
  </si>
  <si>
    <t xml:space="preserve">Qualité</t>
  </si>
  <si>
    <t xml:space="preserve">Respect des consignes</t>
  </si>
  <si>
    <t xml:space="preserve">Critère</t>
  </si>
  <si>
    <t xml:space="preserve">Excellent</t>
  </si>
  <si>
    <t xml:space="preserve">Satisfaisant</t>
  </si>
  <si>
    <t xml:space="preserve">À améliorer</t>
  </si>
  <si>
    <t xml:space="preserve">Problématique</t>
  </si>
  <si>
    <t xml:space="preserve">Positionnement</t>
  </si>
  <si>
    <t xml:space="preserve">Description du cas</t>
  </si>
  <si>
    <t xml:space="preserve">Données mobilisées</t>
  </si>
  <si>
    <t xml:space="preserve">Raisonnement</t>
  </si>
  <si>
    <t xml:space="preserve">Capacité critique</t>
  </si>
  <si>
    <t xml:space="preserve">Concepts ↔ cas</t>
  </si>
  <si>
    <t xml:space="preserve">Mobilisation du cours</t>
  </si>
  <si>
    <t xml:space="preserve">Réflexivité</t>
  </si>
  <si>
    <t xml:space="preserve">Qualité des sources</t>
  </si>
  <si>
    <t xml:space="preserve">Citations</t>
  </si>
  <si>
    <t xml:space="preserve">Clarté et cohérence</t>
  </si>
  <si>
    <t xml:space="preserve">Format article</t>
  </si>
  <si>
    <t xml:space="preserve">Style personnel</t>
  </si>
  <si>
    <t xml:space="preserve">Total</t>
  </si>
  <si>
    <t xml:space="preserve">Test 2</t>
  </si>
  <si>
    <t xml:space="preserve">Test 3</t>
  </si>
  <si>
    <t xml:space="preserve">Test 4</t>
  </si>
  <si>
    <t xml:space="preserve">Lettre</t>
  </si>
  <si>
    <t xml:space="preserve">Appréciation</t>
  </si>
  <si>
    <t xml:space="preserve">A+</t>
  </si>
  <si>
    <t xml:space="preserve">Travail exceptionnel qui dépasse les exigences demandées</t>
  </si>
  <si>
    <t xml:space="preserve">A</t>
  </si>
  <si>
    <t xml:space="preserve">Travail excellent répondant exactement aux exigences</t>
  </si>
  <si>
    <t xml:space="preserve">A−</t>
  </si>
  <si>
    <t xml:space="preserve">Travail très bon, quelques points perfectibles</t>
  </si>
  <si>
    <t xml:space="preserve">B+</t>
  </si>
  <si>
    <t xml:space="preserve">Travail bon, répond bien aux exigences</t>
  </si>
  <si>
    <t xml:space="preserve">B</t>
  </si>
  <si>
    <t xml:space="preserve">Travail bon avec corrections mineures</t>
  </si>
  <si>
    <t xml:space="preserve">B−</t>
  </si>
  <si>
    <t xml:space="preserve">Travail correct, quelques points à améliorer</t>
  </si>
  <si>
    <t xml:space="preserve">C+</t>
  </si>
  <si>
    <t xml:space="preserve">Travail passable, erreurs modérées</t>
  </si>
  <si>
    <t xml:space="preserve">C</t>
  </si>
  <si>
    <t xml:space="preserve">Travail passable, répond assez bien aux exigences</t>
  </si>
  <si>
    <t xml:space="preserve">C−</t>
  </si>
  <si>
    <t xml:space="preserve">Travail passable mais insuffisant sur certains points</t>
  </si>
  <si>
    <t xml:space="preserve">D+</t>
  </si>
  <si>
    <t xml:space="preserve">Travail faible, répond partiellement aux exigences</t>
  </si>
  <si>
    <t xml:space="preserve">D</t>
  </si>
  <si>
    <t xml:space="preserve">Travail faible, erreurs importantes</t>
  </si>
  <si>
    <t xml:space="preserve">E</t>
  </si>
  <si>
    <t xml:space="preserve">Travail non satisfaisant, exigences non remplies</t>
  </si>
  <si>
    <t xml:space="preserve">F</t>
  </si>
  <si>
    <t xml:space="preserve">Travail non remis ou non acceptable</t>
  </si>
  <si>
    <t xml:space="preserve">F*</t>
  </si>
  <si>
    <t xml:space="preserve">Échec par absence ou plagiat</t>
  </si>
  <si>
    <t xml:space="preserve">Note</t>
  </si>
  <si>
    <t xml:space="preserve">Points</t>
  </si>
  <si>
    <t xml:space="preserve">Critères d’évaluation</t>
  </si>
  <si>
    <t xml:space="preserve">La note A+ est réservée aux travaux exceptionnels qui dépassent les exigences demandées.</t>
  </si>
  <si>
    <t xml:space="preserve">La note A est accordée aux travaux excellents qui répondent exactement aux exigences demandées.</t>
  </si>
  <si>
    <t xml:space="preserve">Bon</t>
  </si>
  <si>
    <t xml:space="preserve">La note B est accordée aux travaux qui répondent exactement aux exigences demandées, avec certaines corrections mineures.</t>
  </si>
  <si>
    <t xml:space="preserve">Passable</t>
  </si>
  <si>
    <t xml:space="preserve">La note C est accordée aux travaux qui répondent, dans l’ensemble, assez bien aux exigences demandées, avec quelques erreurs sans gravité majeure.</t>
  </si>
  <si>
    <t xml:space="preserve">Faible</t>
  </si>
  <si>
    <t xml:space="preserve">La note D est accordée aux travaux qui ne rencontrent qu’à moitié les exigences demandées ou qui comportent quelques erreurs graves.</t>
  </si>
  <si>
    <t xml:space="preserve">Échec</t>
  </si>
  <si>
    <t xml:space="preserve">La note E est attribuée aux travaux qui ne répondent pas aux exigences demandées.</t>
  </si>
  <si>
    <t xml:space="preserve">La note F est attribuée lorsqu’un travail ou un examen n’est pas remis ou lorsqu’un travail est remis après la date d’échéance fixée par le professeur, ou dans un cas de plagiat, copiage ou fraude.</t>
  </si>
  <si>
    <t xml:space="preserve">La note F* correspond à un échec par absence</t>
  </si>
</sst>
</file>

<file path=xl/styles.xml><?xml version="1.0" encoding="utf-8"?>
<styleSheet xmlns="http://schemas.openxmlformats.org/spreadsheetml/2006/main">
  <numFmts count="2">
    <numFmt numFmtId="164" formatCode="General"/>
    <numFmt numFmtId="165"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S1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E33" activeCellId="0" sqref="E33"/>
    </sheetView>
  </sheetViews>
  <sheetFormatPr defaultColWidth="9.15234375" defaultRowHeight="13.8" zeroHeight="false" outlineLevelRow="0" outlineLevelCol="0"/>
  <cols>
    <col collapsed="false" customWidth="true" hidden="false" outlineLevel="0" max="1" min="1" style="0" width="13.41"/>
    <col collapsed="false" customWidth="true" hidden="false" outlineLevel="0" max="2" min="2" style="0" width="11.39"/>
    <col collapsed="false" customWidth="true" hidden="false" outlineLevel="0" max="19" min="18" style="0" width="10.18"/>
  </cols>
  <sheetData>
    <row r="2" customFormat="false" ht="13.8" hidden="false" customHeight="false" outlineLevel="0" collapsed="false">
      <c r="A2" s="1" t="s">
        <v>0</v>
      </c>
    </row>
    <row r="3" customFormat="false" ht="13.8" hidden="false" customHeight="false" outlineLevel="0" collapsed="false">
      <c r="B3" s="0" t="s">
        <v>1</v>
      </c>
      <c r="C3" s="0" t="s">
        <v>2</v>
      </c>
      <c r="D3" s="0" t="s">
        <v>3</v>
      </c>
      <c r="E3" s="0" t="s">
        <v>4</v>
      </c>
      <c r="F3" s="0" t="s">
        <v>5</v>
      </c>
      <c r="G3" s="0" t="s">
        <v>6</v>
      </c>
      <c r="H3" s="0" t="s">
        <v>7</v>
      </c>
      <c r="I3" s="0" t="s">
        <v>8</v>
      </c>
      <c r="J3" s="0" t="s">
        <v>9</v>
      </c>
      <c r="K3" s="0" t="s">
        <v>10</v>
      </c>
      <c r="L3" s="0" t="s">
        <v>11</v>
      </c>
      <c r="M3" s="0" t="s">
        <v>12</v>
      </c>
      <c r="N3" s="0" t="s">
        <v>13</v>
      </c>
      <c r="O3" s="0" t="s">
        <v>14</v>
      </c>
    </row>
    <row r="4" customFormat="false" ht="13.8" hidden="false" customHeight="false" outlineLevel="0" collapsed="false">
      <c r="A4" s="0" t="str">
        <f aca="false">'Nom etudiant'!B2</f>
        <v>Test</v>
      </c>
      <c r="P4" s="0" t="n">
        <f aca="false">SUM(B4:O4)</f>
        <v>0</v>
      </c>
    </row>
    <row r="5" customFormat="false" ht="13.8" hidden="false" customHeight="false" outlineLevel="0" collapsed="false">
      <c r="A5" s="0" t="str">
        <f aca="false">'Nom etudiant 2'!B2</f>
        <v>Test 2</v>
      </c>
      <c r="P5" s="0" t="n">
        <f aca="false">SUM(B5:O5)</f>
        <v>0</v>
      </c>
    </row>
    <row r="6" customFormat="false" ht="13.8" hidden="false" customHeight="false" outlineLevel="0" collapsed="false">
      <c r="A6" s="0" t="str">
        <f aca="false">'Nom etudiant_2'!B2</f>
        <v>Test 3</v>
      </c>
      <c r="P6" s="0" t="n">
        <f aca="false">SUM(B6:O6)</f>
        <v>0</v>
      </c>
    </row>
    <row r="7" customFormat="false" ht="13.8" hidden="false" customHeight="false" outlineLevel="0" collapsed="false">
      <c r="A7" s="0" t="str">
        <f aca="false">'Nom etudiant 2_2'!B2</f>
        <v>Test 4</v>
      </c>
      <c r="P7" s="0" t="n">
        <f aca="false">SUM(B7:O7)</f>
        <v>0</v>
      </c>
    </row>
    <row r="9" customFormat="false" ht="13.8" hidden="false" customHeight="false" outlineLevel="0" collapsed="false">
      <c r="A9" s="0" t="s">
        <v>15</v>
      </c>
    </row>
    <row r="11" customFormat="false" ht="13.8" hidden="false" customHeight="false" outlineLevel="0" collapsed="false">
      <c r="A11" s="1" t="s">
        <v>16</v>
      </c>
    </row>
    <row r="12" customFormat="false" ht="13.8" hidden="false" customHeight="false" outlineLevel="0" collapsed="false">
      <c r="B12" s="0" t="s">
        <v>17</v>
      </c>
      <c r="C12" s="0" t="s">
        <v>2</v>
      </c>
      <c r="D12" s="0" t="s">
        <v>3</v>
      </c>
      <c r="E12" s="0" t="s">
        <v>4</v>
      </c>
      <c r="F12" s="0" t="s">
        <v>5</v>
      </c>
      <c r="G12" s="0" t="s">
        <v>6</v>
      </c>
      <c r="H12" s="0" t="s">
        <v>7</v>
      </c>
      <c r="I12" s="0" t="s">
        <v>8</v>
      </c>
      <c r="J12" s="0" t="s">
        <v>9</v>
      </c>
      <c r="K12" s="0" t="s">
        <v>10</v>
      </c>
      <c r="L12" s="0" t="s">
        <v>11</v>
      </c>
      <c r="M12" s="0" t="s">
        <v>12</v>
      </c>
      <c r="N12" s="0" t="s">
        <v>13</v>
      </c>
      <c r="O12" s="0" t="s">
        <v>14</v>
      </c>
      <c r="P12" s="0" t="s">
        <v>18</v>
      </c>
      <c r="Q12" s="0" t="s">
        <v>19</v>
      </c>
      <c r="R12" s="0" t="s">
        <v>20</v>
      </c>
    </row>
    <row r="13" customFormat="false" ht="13.8" hidden="false" customHeight="false" outlineLevel="0" collapsed="false">
      <c r="A13" s="0" t="str">
        <f aca="false">'Nom etudiant'!B2</f>
        <v>Test</v>
      </c>
      <c r="B13" s="0" t="n">
        <v>0</v>
      </c>
      <c r="C13" s="0" t="n">
        <v>0.5</v>
      </c>
      <c r="D13" s="0" t="n">
        <v>0.5</v>
      </c>
      <c r="E13" s="0" t="n">
        <v>0.5</v>
      </c>
      <c r="F13" s="0" t="n">
        <v>0.5</v>
      </c>
      <c r="G13" s="0" t="n">
        <v>0.5</v>
      </c>
      <c r="H13" s="0" t="n">
        <v>0.5</v>
      </c>
      <c r="I13" s="0" t="n">
        <v>0.5</v>
      </c>
      <c r="J13" s="0" t="n">
        <v>0.5</v>
      </c>
      <c r="K13" s="0" t="n">
        <v>0</v>
      </c>
      <c r="L13" s="0" t="n">
        <v>0</v>
      </c>
      <c r="M13" s="0" t="n">
        <v>0</v>
      </c>
      <c r="N13" s="0" t="n">
        <v>0</v>
      </c>
      <c r="O13" s="0" t="n">
        <v>0.5</v>
      </c>
      <c r="P13" s="0" t="n">
        <v>0</v>
      </c>
      <c r="Q13" s="0" t="n">
        <v>5</v>
      </c>
      <c r="R13" s="0" t="n">
        <v>0</v>
      </c>
      <c r="S13" s="0" t="n">
        <f aca="false">SUM(B13:R13)</f>
        <v>9.5</v>
      </c>
    </row>
    <row r="14" customFormat="false" ht="13.8" hidden="false" customHeight="false" outlineLevel="0" collapsed="false">
      <c r="A14" s="0" t="str">
        <f aca="false">'Nom etudiant 2'!B2</f>
        <v>Test 2</v>
      </c>
      <c r="B14" s="0" t="n">
        <v>0</v>
      </c>
      <c r="C14" s="0" t="n">
        <v>0.5</v>
      </c>
      <c r="D14" s="0" t="n">
        <v>0.5</v>
      </c>
      <c r="E14" s="0" t="n">
        <v>0.5</v>
      </c>
      <c r="F14" s="0" t="n">
        <v>0.5</v>
      </c>
      <c r="G14" s="0" t="n">
        <v>0.5</v>
      </c>
      <c r="H14" s="0" t="n">
        <v>0.5</v>
      </c>
      <c r="I14" s="0" t="n">
        <v>0.5</v>
      </c>
      <c r="J14" s="0" t="n">
        <v>0.5</v>
      </c>
      <c r="K14" s="0" t="n">
        <v>0.5</v>
      </c>
      <c r="L14" s="0" t="n">
        <v>0.5</v>
      </c>
      <c r="M14" s="0" t="n">
        <v>0.5</v>
      </c>
      <c r="N14" s="0" t="n">
        <v>0.5</v>
      </c>
      <c r="O14" s="0" t="n">
        <v>0.5</v>
      </c>
      <c r="P14" s="0" t="n">
        <v>0</v>
      </c>
    </row>
    <row r="15" customFormat="false" ht="13.8" hidden="false" customHeight="false" outlineLevel="0" collapsed="false">
      <c r="A15" s="0" t="str">
        <f aca="false">'Nom etudiant_2'!B2</f>
        <v>Test 3</v>
      </c>
    </row>
    <row r="16" customFormat="false" ht="13.8" hidden="false" customHeight="false" outlineLevel="0" collapsed="false">
      <c r="A16" s="0" t="str">
        <f aca="false">'Nom etudiant 2_2'!B2</f>
        <v>Test 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I23"/>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F33" activeCellId="0" sqref="F33"/>
    </sheetView>
  </sheetViews>
  <sheetFormatPr defaultColWidth="9.15234375" defaultRowHeight="13.8" zeroHeight="false" outlineLevelRow="0" outlineLevelCol="0"/>
  <cols>
    <col collapsed="false" customWidth="true" hidden="false" outlineLevel="0" max="2" min="2" style="0" width="12.68"/>
    <col collapsed="false" customWidth="false" hidden="false" outlineLevel="0" max="4" min="4" style="2" width="9.14"/>
    <col collapsed="false" customWidth="true" hidden="false" outlineLevel="0" max="7" min="7" style="0" width="10.56"/>
    <col collapsed="false" customWidth="true" hidden="false" outlineLevel="0" max="8" min="8" style="0" width="49.33"/>
    <col collapsed="false" customWidth="true" hidden="false" outlineLevel="0" max="9" min="9" style="0" width="19.18"/>
  </cols>
  <sheetData>
    <row r="2" customFormat="false" ht="14.3" hidden="false" customHeight="false" outlineLevel="0" collapsed="false">
      <c r="B2" s="0" t="s">
        <v>16</v>
      </c>
      <c r="C2" s="0" t="s">
        <v>21</v>
      </c>
      <c r="D2" s="2" t="s">
        <v>22</v>
      </c>
      <c r="E2" s="0" t="s">
        <v>23</v>
      </c>
      <c r="F2" s="0" t="s">
        <v>24</v>
      </c>
      <c r="G2" s="0" t="s">
        <v>25</v>
      </c>
      <c r="H2" s="0" t="s">
        <v>26</v>
      </c>
      <c r="I2" s="0" t="s">
        <v>27</v>
      </c>
    </row>
    <row r="3" customFormat="false" ht="13.8" hidden="false" customHeight="false" outlineLevel="0" collapsed="false">
      <c r="A3" s="0" t="str">
        <f aca="false">'Nom etudiant'!B2</f>
        <v>Test</v>
      </c>
      <c r="B3" s="0" t="n">
        <f aca="false">'Nom etudiant'!F11</f>
        <v>11</v>
      </c>
      <c r="C3" s="0" t="n">
        <f aca="false">'Nom etudiant'!F18</f>
        <v>37</v>
      </c>
      <c r="D3" s="2" t="n">
        <f aca="false">'Nom etudiant'!F37</f>
        <v>31</v>
      </c>
      <c r="E3" s="0" t="n">
        <f aca="false">SUM(B3:D3)</f>
        <v>79</v>
      </c>
      <c r="F3" s="0" t="n">
        <f aca="false">SUM((E3*4.3)/100)</f>
        <v>3.397</v>
      </c>
      <c r="G3" s="0" t="str">
        <f aca="false">LOOKUP(F3, {0;0.5;1;1.3;1.7;2;2.3;2.7;3;3.3;3.7;4;4.3}, {"F*";"F";"D";"D+";"C−";"C";"C+";"B−";"B";"B+";"A−";"A";"A+"})</f>
        <v>B+</v>
      </c>
      <c r="H3" s="2" t="str">
        <f aca="false">VLOOKUP(TRIM(G3), Notes!A1:B15, 2, 0)</f>
        <v>Travail bon, répond bien aux exigences</v>
      </c>
    </row>
    <row r="4" customFormat="false" ht="13.8" hidden="false" customHeight="false" outlineLevel="0" collapsed="false">
      <c r="A4" s="0" t="str">
        <f aca="false">'Nom etudiant 2'!B2</f>
        <v>Test 2</v>
      </c>
      <c r="B4" s="0" t="n">
        <f aca="false">'Nom etudiant 2'!F11</f>
        <v>16</v>
      </c>
      <c r="C4" s="0" t="n">
        <f aca="false">'Nom etudiant 2'!F18</f>
        <v>39</v>
      </c>
      <c r="D4" s="2" t="n">
        <f aca="false">'Nom etudiant 2'!F37</f>
        <v>32</v>
      </c>
      <c r="E4" s="0" t="n">
        <f aca="false">SUM(B4:D4)</f>
        <v>87</v>
      </c>
      <c r="F4" s="0" t="n">
        <f aca="false">SUM((E4*4.3)/100)</f>
        <v>3.741</v>
      </c>
      <c r="G4" s="0" t="str">
        <f aca="false">LOOKUP(F4, {0;0.5;1;1.3;1.7;2;2.3;2.7;3;3.3;3.7;4;4.3}, {"F*";"F";"D";"D+";"C−";"C";"C+";"B−";"B";"B+";"A−";"A";"A+"})</f>
        <v>A−</v>
      </c>
      <c r="H4" s="3" t="str">
        <f aca="false">VLOOKUP(TRIM(G4), Notes!A1:B15, 2, 0)</f>
        <v>Travail très bon, quelques points perfectibles</v>
      </c>
    </row>
    <row r="5" customFormat="false" ht="13.8" hidden="false" customHeight="false" outlineLevel="0" collapsed="false">
      <c r="A5" s="0" t="str">
        <f aca="false">'Nom etudiant_2'!B2</f>
        <v>Test 3</v>
      </c>
      <c r="B5" s="0" t="n">
        <f aca="false">'Nom etudiant_2'!F11</f>
        <v>18</v>
      </c>
      <c r="C5" s="0" t="n">
        <f aca="false">'Nom etudiant_2'!F18</f>
        <v>40</v>
      </c>
      <c r="D5" s="2" t="n">
        <f aca="false">'Nom etudiant_2'!F37</f>
        <v>37</v>
      </c>
      <c r="E5" s="0" t="n">
        <f aca="false">SUM(B5:D5)</f>
        <v>95</v>
      </c>
      <c r="F5" s="0" t="n">
        <f aca="false">SUM((E5*4.3)/100)</f>
        <v>4.085</v>
      </c>
      <c r="G5" s="0" t="str">
        <f aca="false">LOOKUP(F5, {0;0.5;1;1.3;1.7;2;2.3;2.7;3;3.3;3.7;4;4.3}, {"F*";"F";"D";"D+";"C−";"C";"C+";"B−";"B";"B+";"A−";"A";"A+"})</f>
        <v>A</v>
      </c>
      <c r="H5" s="2" t="str">
        <f aca="false">VLOOKUP(TRIM(G5), Notes!A1:B15, 2, 0)</f>
        <v>Travail excellent répondant exactement aux exigences</v>
      </c>
    </row>
    <row r="6" customFormat="false" ht="13.8" hidden="false" customHeight="false" outlineLevel="0" collapsed="false">
      <c r="A6" s="0" t="str">
        <f aca="false">'Nom etudiant 2_2'!B2</f>
        <v>Test 4</v>
      </c>
      <c r="B6" s="0" t="n">
        <f aca="false">'Nom etudiant 2_2'!F11</f>
        <v>18</v>
      </c>
      <c r="C6" s="0" t="n">
        <f aca="false">'Nom etudiant 2_2'!F18</f>
        <v>40</v>
      </c>
      <c r="D6" s="2" t="n">
        <f aca="false">'Nom etudiant 2_2'!F37</f>
        <v>31</v>
      </c>
      <c r="E6" s="0" t="n">
        <f aca="false">SUM(B6:D6)</f>
        <v>89</v>
      </c>
      <c r="F6" s="0" t="n">
        <f aca="false">SUM((E6*4.3)/100)</f>
        <v>3.827</v>
      </c>
      <c r="G6" s="0" t="str">
        <f aca="false">LOOKUP(F6, {0;0.5;1;1.3;1.7;2;2.3;2.7;3;3.3;3.7;4;4.3}, {"F*";"F";"D";"D+";"C−";"C";"C+";"B−";"B";"B+";"A−";"A";"A+"})</f>
        <v>A−</v>
      </c>
      <c r="H6" s="2" t="str">
        <f aca="false">VLOOKUP(TRIM(G6), Notes!A1:B15, 2, 0)</f>
        <v>Travail très bon, quelques points perfectibles</v>
      </c>
    </row>
    <row r="9" customFormat="false" ht="13.8" hidden="false" customHeight="false" outlineLevel="0" collapsed="false">
      <c r="A9" s="4"/>
      <c r="B9" s="4"/>
      <c r="C9" s="4"/>
      <c r="D9" s="5"/>
    </row>
    <row r="10" customFormat="false" ht="13.8" hidden="false" customHeight="false" outlineLevel="0" collapsed="false">
      <c r="A10" s="6"/>
      <c r="B10" s="7"/>
      <c r="C10" s="6"/>
      <c r="D10" s="8"/>
    </row>
    <row r="11" customFormat="false" ht="13.8" hidden="false" customHeight="false" outlineLevel="0" collapsed="false">
      <c r="A11" s="6"/>
      <c r="B11" s="6"/>
      <c r="C11" s="6"/>
      <c r="D11" s="8"/>
    </row>
    <row r="12" customFormat="false" ht="13.8" hidden="false" customHeight="false" outlineLevel="0" collapsed="false">
      <c r="A12" s="6"/>
      <c r="B12" s="7"/>
      <c r="C12" s="6"/>
      <c r="D12" s="8"/>
    </row>
    <row r="13" customFormat="false" ht="13.8" hidden="false" customHeight="false" outlineLevel="0" collapsed="false">
      <c r="A13" s="6"/>
      <c r="B13" s="7"/>
      <c r="C13" s="6"/>
      <c r="D13" s="8"/>
    </row>
    <row r="14" customFormat="false" ht="13.8" hidden="false" customHeight="false" outlineLevel="0" collapsed="false">
      <c r="A14" s="6"/>
      <c r="B14" s="6"/>
      <c r="C14" s="6"/>
      <c r="D14" s="8"/>
    </row>
    <row r="15" customFormat="false" ht="13.8" hidden="false" customHeight="false" outlineLevel="0" collapsed="false">
      <c r="A15" s="6"/>
      <c r="B15" s="7"/>
      <c r="C15" s="6"/>
      <c r="D15" s="8"/>
    </row>
    <row r="16" customFormat="false" ht="13.8" hidden="false" customHeight="false" outlineLevel="0" collapsed="false">
      <c r="A16" s="6"/>
      <c r="B16" s="7"/>
      <c r="C16" s="6"/>
      <c r="D16" s="8"/>
    </row>
    <row r="17" customFormat="false" ht="13.8" hidden="false" customHeight="false" outlineLevel="0" collapsed="false">
      <c r="A17" s="6"/>
      <c r="B17" s="6"/>
      <c r="C17" s="6"/>
      <c r="D17" s="8"/>
    </row>
    <row r="18" customFormat="false" ht="13.8" hidden="false" customHeight="false" outlineLevel="0" collapsed="false">
      <c r="A18" s="6"/>
      <c r="B18" s="7"/>
      <c r="C18" s="6"/>
      <c r="D18" s="8"/>
    </row>
    <row r="19" customFormat="false" ht="13.8" hidden="false" customHeight="false" outlineLevel="0" collapsed="false">
      <c r="A19" s="6"/>
      <c r="B19" s="7"/>
      <c r="C19" s="6"/>
      <c r="D19" s="8"/>
    </row>
    <row r="20" customFormat="false" ht="13.8" hidden="false" customHeight="false" outlineLevel="0" collapsed="false">
      <c r="A20" s="6"/>
      <c r="B20" s="6"/>
      <c r="C20" s="6"/>
      <c r="D20" s="8"/>
    </row>
    <row r="21" customFormat="false" ht="13.8" hidden="false" customHeight="false" outlineLevel="0" collapsed="false">
      <c r="A21" s="6"/>
      <c r="B21" s="6"/>
      <c r="C21" s="6"/>
      <c r="D21" s="8"/>
    </row>
    <row r="22" customFormat="false" ht="13.8" hidden="false" customHeight="false" outlineLevel="0" collapsed="false">
      <c r="A22" s="6"/>
      <c r="B22" s="7"/>
      <c r="C22" s="6"/>
      <c r="D22" s="8"/>
    </row>
    <row r="23" customFormat="false" ht="13.8" hidden="false" customHeight="false" outlineLevel="0" collapsed="false">
      <c r="A23" s="6"/>
      <c r="B23" s="7"/>
      <c r="C23" s="6"/>
      <c r="D23" s="8"/>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P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1" activeCellId="0" sqref="A11"/>
    </sheetView>
  </sheetViews>
  <sheetFormatPr defaultColWidth="8.54296875" defaultRowHeight="13.8" zeroHeight="false" outlineLevelRow="0" outlineLevelCol="0"/>
  <cols>
    <col collapsed="false" customWidth="true" hidden="false" outlineLevel="0" max="1" min="1" style="0" width="20.06"/>
    <col collapsed="false" customWidth="true" hidden="false" outlineLevel="0" max="3" min="3" style="0" width="10.96"/>
    <col collapsed="false" customWidth="true" hidden="false" outlineLevel="0" max="4" min="4" style="0" width="10.72"/>
    <col collapsed="false" customWidth="true" hidden="false" outlineLevel="0" max="5" min="5" style="0" width="10.51"/>
    <col collapsed="false" customWidth="true" hidden="false" outlineLevel="0" max="6" min="6" style="0" width="19.95"/>
  </cols>
  <sheetData>
    <row r="2" customFormat="false" ht="13.8" hidden="false" customHeight="false" outlineLevel="0" collapsed="false">
      <c r="A2" s="0" t="s">
        <v>28</v>
      </c>
      <c r="B2" s="0" t="s">
        <v>29</v>
      </c>
    </row>
    <row r="4" customFormat="false" ht="20.1" hidden="false" customHeight="true" outlineLevel="0" collapsed="false">
      <c r="A4" s="9" t="s">
        <v>16</v>
      </c>
    </row>
    <row r="5" customFormat="false" ht="14.9" hidden="false" customHeight="true" outlineLevel="0" collapsed="false">
      <c r="A5" s="10" t="s">
        <v>30</v>
      </c>
      <c r="B5" s="11" t="s">
        <v>31</v>
      </c>
      <c r="C5" s="11"/>
      <c r="D5" s="11"/>
      <c r="E5" s="0" t="s">
        <v>32</v>
      </c>
      <c r="F5" s="9" t="s">
        <v>33</v>
      </c>
      <c r="G5" s="9"/>
    </row>
    <row r="6" customFormat="false" ht="28.35" hidden="false" customHeight="true" outlineLevel="0" collapsed="false">
      <c r="A6" s="6" t="s">
        <v>0</v>
      </c>
      <c r="B6" s="11" t="s">
        <v>34</v>
      </c>
      <c r="C6" s="11"/>
      <c r="D6" s="11"/>
      <c r="E6" s="0" t="n">
        <v>4</v>
      </c>
      <c r="F6" s="0" t="n">
        <v>2</v>
      </c>
    </row>
    <row r="7" customFormat="false" ht="28.35" hidden="false" customHeight="true" outlineLevel="0" collapsed="false">
      <c r="A7" s="6" t="s">
        <v>35</v>
      </c>
      <c r="B7" s="11" t="s">
        <v>36</v>
      </c>
      <c r="C7" s="11"/>
      <c r="D7" s="11"/>
      <c r="E7" s="0" t="n">
        <v>4</v>
      </c>
      <c r="F7" s="0" t="n">
        <v>3</v>
      </c>
    </row>
    <row r="8" customFormat="false" ht="28.35" hidden="false" customHeight="true" outlineLevel="0" collapsed="false">
      <c r="A8" s="6" t="s">
        <v>37</v>
      </c>
      <c r="B8" s="11" t="s">
        <v>38</v>
      </c>
      <c r="C8" s="11"/>
      <c r="D8" s="11"/>
      <c r="E8" s="0" t="n">
        <v>4</v>
      </c>
      <c r="F8" s="0" t="n">
        <v>1</v>
      </c>
    </row>
    <row r="9" customFormat="false" ht="28.35" hidden="false" customHeight="true" outlineLevel="0" collapsed="false">
      <c r="A9" s="6" t="s">
        <v>39</v>
      </c>
      <c r="B9" s="11" t="s">
        <v>40</v>
      </c>
      <c r="C9" s="11"/>
      <c r="D9" s="11"/>
      <c r="E9" s="0" t="n">
        <v>4</v>
      </c>
      <c r="F9" s="0" t="n">
        <v>2</v>
      </c>
    </row>
    <row r="10" customFormat="false" ht="28.35" hidden="false" customHeight="true" outlineLevel="0" collapsed="false">
      <c r="A10" s="6" t="s">
        <v>41</v>
      </c>
      <c r="B10" s="11" t="s">
        <v>42</v>
      </c>
      <c r="C10" s="11"/>
      <c r="D10" s="11"/>
      <c r="E10" s="0" t="n">
        <v>4</v>
      </c>
      <c r="F10" s="0" t="n">
        <v>3</v>
      </c>
    </row>
    <row r="11" customFormat="false" ht="13.8" hidden="false" customHeight="false" outlineLevel="0" collapsed="false">
      <c r="A11" s="9"/>
      <c r="E11" s="0" t="n">
        <f aca="false">SUM(E6:E10)</f>
        <v>20</v>
      </c>
      <c r="F11" s="1" t="n">
        <f aca="false">SUM(F6:F10)</f>
        <v>11</v>
      </c>
    </row>
    <row r="12" customFormat="false" ht="43.25" hidden="false" customHeight="true" outlineLevel="0" collapsed="false">
      <c r="A12" s="9" t="s">
        <v>43</v>
      </c>
      <c r="B12" s="12"/>
      <c r="C12" s="12"/>
      <c r="D12" s="12"/>
      <c r="E12" s="12"/>
      <c r="F12" s="12"/>
    </row>
    <row r="13" customFormat="false" ht="13.8" hidden="false" customHeight="false" outlineLevel="0" collapsed="false">
      <c r="A13" s="9"/>
    </row>
    <row r="14" customFormat="false" ht="14.9" hidden="false" customHeight="false" outlineLevel="0" collapsed="false">
      <c r="A14" s="9" t="s">
        <v>21</v>
      </c>
    </row>
    <row r="15" customFormat="false" ht="13.8" hidden="false" customHeight="false" outlineLevel="0" collapsed="false">
      <c r="F15" s="1" t="s">
        <v>44</v>
      </c>
      <c r="G15" s="1" t="s">
        <v>45</v>
      </c>
      <c r="H15" s="1" t="s">
        <v>46</v>
      </c>
      <c r="I15" s="1" t="s">
        <v>47</v>
      </c>
      <c r="J15" s="1" t="s">
        <v>48</v>
      </c>
      <c r="K15" s="1" t="s">
        <v>49</v>
      </c>
      <c r="L15" s="1" t="s">
        <v>50</v>
      </c>
      <c r="M15" s="1" t="s">
        <v>51</v>
      </c>
      <c r="N15" s="1" t="s">
        <v>52</v>
      </c>
      <c r="O15" s="1" t="s">
        <v>53</v>
      </c>
      <c r="P15" s="1" t="s">
        <v>54</v>
      </c>
    </row>
    <row r="16" customFormat="false" ht="14.9" hidden="false" customHeight="false" outlineLevel="0" collapsed="false">
      <c r="A16" s="6" t="s">
        <v>55</v>
      </c>
      <c r="E16" s="0" t="n">
        <v>20</v>
      </c>
      <c r="F16" s="0" t="n">
        <f aca="false">SUM(G16:P16)</f>
        <v>17</v>
      </c>
      <c r="G16" s="0" t="n">
        <v>2</v>
      </c>
      <c r="H16" s="0" t="n">
        <v>1</v>
      </c>
      <c r="I16" s="0" t="n">
        <v>2</v>
      </c>
      <c r="J16" s="0" t="n">
        <v>1</v>
      </c>
      <c r="K16" s="0" t="n">
        <v>1</v>
      </c>
      <c r="L16" s="0" t="n">
        <v>2</v>
      </c>
      <c r="M16" s="0" t="n">
        <v>2</v>
      </c>
      <c r="N16" s="0" t="n">
        <v>2</v>
      </c>
      <c r="O16" s="0" t="n">
        <v>2</v>
      </c>
      <c r="P16" s="0" t="n">
        <v>2</v>
      </c>
    </row>
    <row r="17" customFormat="false" ht="13.8" hidden="false" customHeight="false" outlineLevel="0" collapsed="false">
      <c r="A17" s="7" t="s">
        <v>56</v>
      </c>
      <c r="E17" s="0" t="n">
        <v>20</v>
      </c>
      <c r="F17" s="0" t="n">
        <f aca="false">SUM(G17:P17)</f>
        <v>20</v>
      </c>
      <c r="G17" s="0" t="n">
        <v>2</v>
      </c>
      <c r="H17" s="0" t="n">
        <v>2</v>
      </c>
      <c r="I17" s="0" t="n">
        <v>2</v>
      </c>
      <c r="J17" s="0" t="n">
        <v>2</v>
      </c>
      <c r="K17" s="0" t="n">
        <v>2</v>
      </c>
      <c r="L17" s="0" t="n">
        <v>2</v>
      </c>
      <c r="M17" s="0" t="n">
        <v>2</v>
      </c>
      <c r="N17" s="0" t="n">
        <v>2</v>
      </c>
      <c r="O17" s="0" t="n">
        <v>2</v>
      </c>
      <c r="P17" s="0" t="n">
        <v>2</v>
      </c>
    </row>
    <row r="18" customFormat="false" ht="13.8" hidden="false" customHeight="false" outlineLevel="0" collapsed="false">
      <c r="E18" s="0" t="n">
        <f aca="false">SUM(E16:E17)</f>
        <v>40</v>
      </c>
      <c r="F18" s="1" t="n">
        <f aca="false">SUM(F16:F17)</f>
        <v>37</v>
      </c>
      <c r="G18" s="0" t="n">
        <f aca="false">SUM(G16:G17)</f>
        <v>4</v>
      </c>
      <c r="H18" s="0" t="n">
        <f aca="false">SUM(H16:H17)</f>
        <v>3</v>
      </c>
      <c r="I18" s="0" t="n">
        <f aca="false">SUM(I16:I17)</f>
        <v>4</v>
      </c>
      <c r="J18" s="0" t="n">
        <f aca="false">SUM(J16:J17)</f>
        <v>3</v>
      </c>
      <c r="K18" s="0" t="n">
        <f aca="false">SUM(K16:K17)</f>
        <v>3</v>
      </c>
      <c r="L18" s="0" t="n">
        <f aca="false">SUM(L16:L17)</f>
        <v>4</v>
      </c>
      <c r="M18" s="0" t="n">
        <f aca="false">SUM(M16:M17)</f>
        <v>4</v>
      </c>
      <c r="N18" s="0" t="n">
        <f aca="false">SUM(N16:N17)</f>
        <v>4</v>
      </c>
      <c r="O18" s="0" t="n">
        <f aca="false">SUM(O16:O17)</f>
        <v>4</v>
      </c>
      <c r="P18" s="0" t="n">
        <f aca="false">SUM(P16:P17)</f>
        <v>4</v>
      </c>
    </row>
    <row r="19" customFormat="false" ht="38.8" hidden="false" customHeight="true" outlineLevel="0" collapsed="false">
      <c r="A19" s="9" t="s">
        <v>43</v>
      </c>
      <c r="B19" s="12"/>
      <c r="C19" s="12"/>
      <c r="D19" s="12"/>
      <c r="E19" s="12"/>
      <c r="F19" s="12"/>
    </row>
    <row r="21" customFormat="false" ht="26.1" hidden="false" customHeight="true" outlineLevel="0" collapsed="false">
      <c r="A21" s="1" t="s">
        <v>22</v>
      </c>
    </row>
    <row r="22" customFormat="false" ht="20.85" hidden="false" customHeight="true" outlineLevel="0" collapsed="false">
      <c r="A22" s="13" t="s">
        <v>57</v>
      </c>
      <c r="B22" s="0" t="s">
        <v>58</v>
      </c>
      <c r="C22" s="0" t="s">
        <v>59</v>
      </c>
      <c r="D22" s="0" t="s">
        <v>60</v>
      </c>
      <c r="E22" s="0" t="s">
        <v>32</v>
      </c>
      <c r="F22" s="1" t="s">
        <v>33</v>
      </c>
      <c r="G22" s="1"/>
    </row>
    <row r="23" customFormat="false" ht="13.8" hidden="false" customHeight="false" outlineLevel="0" collapsed="false">
      <c r="A23" s="0" t="s">
        <v>61</v>
      </c>
      <c r="B23" s="0" t="n">
        <v>4</v>
      </c>
      <c r="C23" s="0" t="n">
        <v>2</v>
      </c>
      <c r="D23" s="0" t="n">
        <v>1</v>
      </c>
      <c r="E23" s="0" t="n">
        <v>4</v>
      </c>
      <c r="F23" s="0" t="n">
        <v>2</v>
      </c>
    </row>
    <row r="24" customFormat="false" ht="13.8" hidden="false" customHeight="false" outlineLevel="0" collapsed="false">
      <c r="A24" s="0" t="s">
        <v>62</v>
      </c>
      <c r="B24" s="0" t="n">
        <v>4</v>
      </c>
      <c r="C24" s="0" t="n">
        <v>2</v>
      </c>
      <c r="D24" s="0" t="n">
        <v>1</v>
      </c>
      <c r="E24" s="0" t="n">
        <v>4</v>
      </c>
      <c r="F24" s="0" t="n">
        <v>2</v>
      </c>
    </row>
    <row r="25" customFormat="false" ht="13.8" hidden="false" customHeight="false" outlineLevel="0" collapsed="false">
      <c r="A25" s="0" t="s">
        <v>63</v>
      </c>
      <c r="B25" s="0" t="n">
        <v>4</v>
      </c>
      <c r="C25" s="0" t="n">
        <v>2</v>
      </c>
      <c r="D25" s="0" t="n">
        <v>1</v>
      </c>
      <c r="E25" s="0" t="n">
        <v>4</v>
      </c>
      <c r="F25" s="0" t="n">
        <v>2</v>
      </c>
    </row>
    <row r="26" customFormat="false" ht="13.8" hidden="false" customHeight="false" outlineLevel="0" collapsed="false">
      <c r="A26" s="0" t="s">
        <v>64</v>
      </c>
      <c r="B26" s="0" t="n">
        <v>4</v>
      </c>
      <c r="C26" s="0" t="n">
        <v>2</v>
      </c>
      <c r="D26" s="0" t="n">
        <v>1</v>
      </c>
      <c r="E26" s="0" t="n">
        <v>4</v>
      </c>
      <c r="F26" s="0" t="n">
        <v>3</v>
      </c>
    </row>
    <row r="27" customFormat="false" ht="13.8" hidden="false" customHeight="false" outlineLevel="0" collapsed="false">
      <c r="A27" s="0" t="s">
        <v>65</v>
      </c>
      <c r="B27" s="0" t="n">
        <v>4</v>
      </c>
      <c r="C27" s="0" t="n">
        <v>2</v>
      </c>
      <c r="D27" s="0" t="n">
        <v>1</v>
      </c>
      <c r="E27" s="0" t="n">
        <v>4</v>
      </c>
      <c r="F27" s="0" t="n">
        <v>2</v>
      </c>
    </row>
    <row r="28" customFormat="false" ht="13.8" hidden="false" customHeight="false" outlineLevel="0" collapsed="false">
      <c r="A28" s="0" t="s">
        <v>66</v>
      </c>
      <c r="B28" s="0" t="n">
        <v>4</v>
      </c>
      <c r="C28" s="0" t="n">
        <v>2</v>
      </c>
      <c r="D28" s="0" t="n">
        <v>1</v>
      </c>
      <c r="E28" s="0" t="n">
        <v>4</v>
      </c>
      <c r="F28" s="0" t="n">
        <v>4</v>
      </c>
    </row>
    <row r="29" customFormat="false" ht="13.8" hidden="false" customHeight="false" outlineLevel="0" collapsed="false">
      <c r="A29" s="0" t="s">
        <v>67</v>
      </c>
      <c r="B29" s="0" t="n">
        <v>2</v>
      </c>
      <c r="C29" s="0" t="n">
        <v>1</v>
      </c>
      <c r="D29" s="0" t="n">
        <v>0</v>
      </c>
      <c r="E29" s="0" t="n">
        <v>2</v>
      </c>
      <c r="F29" s="0" t="n">
        <v>2</v>
      </c>
    </row>
    <row r="30" customFormat="false" ht="13.8" hidden="false" customHeight="false" outlineLevel="0" collapsed="false">
      <c r="A30" s="0" t="s">
        <v>68</v>
      </c>
      <c r="B30" s="0" t="n">
        <v>3</v>
      </c>
      <c r="C30" s="0" t="n">
        <v>2</v>
      </c>
      <c r="D30" s="0" t="n">
        <v>1</v>
      </c>
      <c r="E30" s="0" t="n">
        <v>3</v>
      </c>
      <c r="F30" s="0" t="n">
        <v>4</v>
      </c>
    </row>
    <row r="31" customFormat="false" ht="13.8" hidden="false" customHeight="false" outlineLevel="0" collapsed="false">
      <c r="A31" s="0" t="s">
        <v>69</v>
      </c>
      <c r="B31" s="0" t="n">
        <v>3</v>
      </c>
      <c r="C31" s="0" t="n">
        <v>2</v>
      </c>
      <c r="D31" s="0" t="n">
        <v>1</v>
      </c>
      <c r="E31" s="0" t="n">
        <v>3</v>
      </c>
      <c r="F31" s="0" t="n">
        <v>4</v>
      </c>
    </row>
    <row r="32" customFormat="false" ht="13.8" hidden="false" customHeight="false" outlineLevel="0" collapsed="false">
      <c r="A32" s="0" t="s">
        <v>70</v>
      </c>
      <c r="B32" s="0" t="n">
        <v>2</v>
      </c>
      <c r="C32" s="0" t="n">
        <v>1</v>
      </c>
      <c r="D32" s="0" t="n">
        <v>0</v>
      </c>
      <c r="E32" s="0" t="n">
        <v>2</v>
      </c>
      <c r="F32" s="0" t="n">
        <v>2</v>
      </c>
    </row>
    <row r="33" customFormat="false" ht="13.8" hidden="false" customHeight="false" outlineLevel="0" collapsed="false">
      <c r="A33" s="0" t="s">
        <v>71</v>
      </c>
      <c r="B33" s="0" t="n">
        <v>1</v>
      </c>
      <c r="C33" s="0" t="n">
        <v>0</v>
      </c>
      <c r="D33" s="0" t="n">
        <v>0</v>
      </c>
      <c r="E33" s="0" t="n">
        <v>1</v>
      </c>
      <c r="F33" s="0" t="n">
        <v>1</v>
      </c>
    </row>
    <row r="34" customFormat="false" ht="13.8" hidden="false" customHeight="false" outlineLevel="0" collapsed="false">
      <c r="A34" s="0" t="s">
        <v>72</v>
      </c>
      <c r="B34" s="0" t="n">
        <v>2</v>
      </c>
      <c r="C34" s="0" t="n">
        <v>1</v>
      </c>
      <c r="D34" s="0" t="n">
        <v>0</v>
      </c>
      <c r="E34" s="0" t="n">
        <v>2</v>
      </c>
      <c r="F34" s="0" t="n">
        <v>1</v>
      </c>
    </row>
    <row r="35" customFormat="false" ht="13.8" hidden="false" customHeight="false" outlineLevel="0" collapsed="false">
      <c r="A35" s="0" t="s">
        <v>73</v>
      </c>
      <c r="B35" s="0" t="n">
        <v>2</v>
      </c>
      <c r="C35" s="0" t="n">
        <v>1</v>
      </c>
      <c r="D35" s="0" t="n">
        <v>0</v>
      </c>
      <c r="E35" s="0" t="n">
        <v>2</v>
      </c>
      <c r="F35" s="0" t="n">
        <v>1</v>
      </c>
    </row>
    <row r="36" customFormat="false" ht="13.8" hidden="false" customHeight="false" outlineLevel="0" collapsed="false">
      <c r="A36" s="0" t="s">
        <v>74</v>
      </c>
      <c r="B36" s="0" t="n">
        <v>1</v>
      </c>
      <c r="C36" s="0" t="n">
        <v>0</v>
      </c>
      <c r="D36" s="0" t="n">
        <v>0</v>
      </c>
      <c r="E36" s="0" t="n">
        <v>1</v>
      </c>
      <c r="F36" s="0" t="n">
        <v>1</v>
      </c>
    </row>
    <row r="37" customFormat="false" ht="13.8" hidden="false" customHeight="false" outlineLevel="0" collapsed="false">
      <c r="A37" s="0" t="s">
        <v>75</v>
      </c>
      <c r="E37" s="0" t="n">
        <f aca="false">SUM(E23:E36)</f>
        <v>40</v>
      </c>
      <c r="F37" s="1" t="n">
        <f aca="false">SUM(F23:F36)</f>
        <v>31</v>
      </c>
    </row>
    <row r="38" customFormat="false" ht="36.55" hidden="false" customHeight="true" outlineLevel="0" collapsed="false">
      <c r="A38" s="9" t="s">
        <v>43</v>
      </c>
      <c r="B38" s="12"/>
      <c r="C38" s="12"/>
      <c r="D38" s="12"/>
      <c r="E38" s="12"/>
      <c r="F38" s="12"/>
    </row>
    <row r="1048576" customFormat="false" ht="12.8" hidden="false" customHeight="false" outlineLevel="0" collapsed="false"/>
  </sheetData>
  <mergeCells count="9">
    <mergeCell ref="B5:D5"/>
    <mergeCell ref="B6:D6"/>
    <mergeCell ref="B7:D7"/>
    <mergeCell ref="B8:D8"/>
    <mergeCell ref="B9:D9"/>
    <mergeCell ref="B10:D10"/>
    <mergeCell ref="B12:F12"/>
    <mergeCell ref="B19:F19"/>
    <mergeCell ref="B38:F38"/>
  </mergeCells>
  <dataValidations count="1">
    <dataValidation allowBlank="true" errorStyle="stop" operator="between" showDropDown="false" showErrorMessage="false" showInputMessage="false" sqref="F23:G36" type="list">
      <formula1>"Excellent,Satisfaisant,À améliorer"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P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24" activeCellId="0" sqref="J24"/>
    </sheetView>
  </sheetViews>
  <sheetFormatPr defaultColWidth="8.54296875" defaultRowHeight="13.8" zeroHeight="false" outlineLevelRow="0" outlineLevelCol="0"/>
  <cols>
    <col collapsed="false" customWidth="true" hidden="false" outlineLevel="0" max="1" min="1" style="0" width="20.06"/>
    <col collapsed="false" customWidth="true" hidden="false" outlineLevel="0" max="3" min="3" style="0" width="10.96"/>
    <col collapsed="false" customWidth="true" hidden="false" outlineLevel="0" max="4" min="4" style="0" width="10.72"/>
    <col collapsed="false" customWidth="true" hidden="false" outlineLevel="0" max="5" min="5" style="0" width="10.51"/>
    <col collapsed="false" customWidth="true" hidden="false" outlineLevel="0" max="6" min="6" style="0" width="19.95"/>
  </cols>
  <sheetData>
    <row r="2" customFormat="false" ht="13.8" hidden="false" customHeight="false" outlineLevel="0" collapsed="false">
      <c r="A2" s="0" t="s">
        <v>28</v>
      </c>
      <c r="B2" s="0" t="s">
        <v>76</v>
      </c>
    </row>
    <row r="4" customFormat="false" ht="20.1" hidden="false" customHeight="true" outlineLevel="0" collapsed="false">
      <c r="A4" s="9" t="s">
        <v>16</v>
      </c>
    </row>
    <row r="5" customFormat="false" ht="14.9" hidden="false" customHeight="true" outlineLevel="0" collapsed="false">
      <c r="A5" s="10" t="s">
        <v>30</v>
      </c>
      <c r="B5" s="11" t="s">
        <v>31</v>
      </c>
      <c r="C5" s="11"/>
      <c r="D5" s="11"/>
      <c r="E5" s="0" t="s">
        <v>32</v>
      </c>
      <c r="F5" s="9" t="s">
        <v>33</v>
      </c>
      <c r="G5" s="9"/>
    </row>
    <row r="6" customFormat="false" ht="28.35" hidden="false" customHeight="true" outlineLevel="0" collapsed="false">
      <c r="A6" s="6" t="s">
        <v>0</v>
      </c>
      <c r="B6" s="11" t="s">
        <v>34</v>
      </c>
      <c r="C6" s="11"/>
      <c r="D6" s="11"/>
      <c r="E6" s="0" t="n">
        <v>4</v>
      </c>
      <c r="F6" s="0" t="n">
        <v>4</v>
      </c>
    </row>
    <row r="7" customFormat="false" ht="28.35" hidden="false" customHeight="true" outlineLevel="0" collapsed="false">
      <c r="A7" s="6" t="s">
        <v>35</v>
      </c>
      <c r="B7" s="11" t="s">
        <v>36</v>
      </c>
      <c r="C7" s="11"/>
      <c r="D7" s="11"/>
      <c r="E7" s="0" t="n">
        <v>4</v>
      </c>
      <c r="F7" s="0" t="n">
        <v>4</v>
      </c>
    </row>
    <row r="8" customFormat="false" ht="28.35" hidden="false" customHeight="true" outlineLevel="0" collapsed="false">
      <c r="A8" s="6" t="s">
        <v>37</v>
      </c>
      <c r="B8" s="11" t="s">
        <v>38</v>
      </c>
      <c r="C8" s="11"/>
      <c r="D8" s="11"/>
      <c r="E8" s="0" t="n">
        <v>4</v>
      </c>
      <c r="F8" s="0" t="n">
        <v>1</v>
      </c>
    </row>
    <row r="9" customFormat="false" ht="28.35" hidden="false" customHeight="true" outlineLevel="0" collapsed="false">
      <c r="A9" s="6" t="s">
        <v>39</v>
      </c>
      <c r="B9" s="11" t="s">
        <v>40</v>
      </c>
      <c r="C9" s="11"/>
      <c r="D9" s="11"/>
      <c r="E9" s="0" t="n">
        <v>4</v>
      </c>
      <c r="F9" s="0" t="n">
        <v>4</v>
      </c>
    </row>
    <row r="10" customFormat="false" ht="28.35" hidden="false" customHeight="true" outlineLevel="0" collapsed="false">
      <c r="A10" s="6" t="s">
        <v>41</v>
      </c>
      <c r="B10" s="11" t="s">
        <v>42</v>
      </c>
      <c r="C10" s="11"/>
      <c r="D10" s="11"/>
      <c r="E10" s="0" t="n">
        <v>4</v>
      </c>
      <c r="F10" s="0" t="n">
        <v>3</v>
      </c>
    </row>
    <row r="11" customFormat="false" ht="13.8" hidden="false" customHeight="false" outlineLevel="0" collapsed="false">
      <c r="A11" s="9"/>
      <c r="E11" s="0" t="n">
        <f aca="false">SUM(E6:E10)</f>
        <v>20</v>
      </c>
      <c r="F11" s="1" t="n">
        <f aca="false">SUM(F6:F10)</f>
        <v>16</v>
      </c>
    </row>
    <row r="12" customFormat="false" ht="43.25" hidden="false" customHeight="true" outlineLevel="0" collapsed="false">
      <c r="A12" s="9" t="s">
        <v>43</v>
      </c>
      <c r="B12" s="12"/>
      <c r="C12" s="12"/>
      <c r="D12" s="12"/>
      <c r="E12" s="12"/>
      <c r="F12" s="12"/>
    </row>
    <row r="13" customFormat="false" ht="13.8" hidden="false" customHeight="false" outlineLevel="0" collapsed="false">
      <c r="A13" s="9"/>
    </row>
    <row r="14" customFormat="false" ht="14.9" hidden="false" customHeight="false" outlineLevel="0" collapsed="false">
      <c r="A14" s="9" t="s">
        <v>21</v>
      </c>
    </row>
    <row r="15" customFormat="false" ht="13.8" hidden="false" customHeight="false" outlineLevel="0" collapsed="false">
      <c r="F15" s="1" t="s">
        <v>44</v>
      </c>
      <c r="G15" s="1" t="s">
        <v>45</v>
      </c>
      <c r="H15" s="1" t="s">
        <v>46</v>
      </c>
      <c r="I15" s="1" t="s">
        <v>47</v>
      </c>
      <c r="J15" s="1" t="s">
        <v>48</v>
      </c>
      <c r="K15" s="1" t="s">
        <v>49</v>
      </c>
      <c r="L15" s="1" t="s">
        <v>50</v>
      </c>
      <c r="M15" s="1" t="s">
        <v>51</v>
      </c>
      <c r="N15" s="1" t="s">
        <v>52</v>
      </c>
      <c r="O15" s="1" t="s">
        <v>53</v>
      </c>
      <c r="P15" s="1" t="s">
        <v>54</v>
      </c>
    </row>
    <row r="16" customFormat="false" ht="14.9" hidden="false" customHeight="false" outlineLevel="0" collapsed="false">
      <c r="A16" s="6" t="s">
        <v>55</v>
      </c>
      <c r="E16" s="0" t="n">
        <v>20</v>
      </c>
      <c r="F16" s="0" t="n">
        <f aca="false">SUM(G16:P16)</f>
        <v>19</v>
      </c>
      <c r="G16" s="0" t="n">
        <v>2</v>
      </c>
      <c r="H16" s="0" t="n">
        <v>2</v>
      </c>
      <c r="I16" s="0" t="n">
        <v>2</v>
      </c>
      <c r="J16" s="0" t="n">
        <v>1</v>
      </c>
      <c r="K16" s="0" t="n">
        <v>2</v>
      </c>
      <c r="L16" s="0" t="n">
        <v>2</v>
      </c>
      <c r="M16" s="0" t="n">
        <v>2</v>
      </c>
      <c r="N16" s="0" t="n">
        <v>2</v>
      </c>
      <c r="O16" s="0" t="n">
        <v>2</v>
      </c>
      <c r="P16" s="0" t="n">
        <v>2</v>
      </c>
    </row>
    <row r="17" customFormat="false" ht="13.8" hidden="false" customHeight="false" outlineLevel="0" collapsed="false">
      <c r="A17" s="7" t="s">
        <v>56</v>
      </c>
      <c r="E17" s="0" t="n">
        <v>20</v>
      </c>
      <c r="F17" s="0" t="n">
        <f aca="false">SUM(G17:P17)</f>
        <v>20</v>
      </c>
      <c r="G17" s="0" t="n">
        <v>2</v>
      </c>
      <c r="H17" s="0" t="n">
        <v>2</v>
      </c>
      <c r="I17" s="0" t="n">
        <v>2</v>
      </c>
      <c r="J17" s="0" t="n">
        <v>2</v>
      </c>
      <c r="K17" s="0" t="n">
        <v>2</v>
      </c>
      <c r="L17" s="0" t="n">
        <v>2</v>
      </c>
      <c r="M17" s="0" t="n">
        <v>2</v>
      </c>
      <c r="N17" s="0" t="n">
        <v>2</v>
      </c>
      <c r="O17" s="0" t="n">
        <v>2</v>
      </c>
      <c r="P17" s="0" t="n">
        <v>2</v>
      </c>
    </row>
    <row r="18" customFormat="false" ht="13.8" hidden="false" customHeight="false" outlineLevel="0" collapsed="false">
      <c r="E18" s="0" t="n">
        <f aca="false">SUM(E16:E17)</f>
        <v>40</v>
      </c>
      <c r="F18" s="1" t="n">
        <f aca="false">SUM(F16:F17)</f>
        <v>39</v>
      </c>
      <c r="G18" s="0" t="n">
        <f aca="false">SUM(G16:G17)</f>
        <v>4</v>
      </c>
      <c r="H18" s="0" t="n">
        <f aca="false">SUM(H16:H17)</f>
        <v>4</v>
      </c>
      <c r="I18" s="0" t="n">
        <f aca="false">SUM(I16:I17)</f>
        <v>4</v>
      </c>
      <c r="J18" s="0" t="n">
        <f aca="false">SUM(J16:J17)</f>
        <v>3</v>
      </c>
      <c r="K18" s="0" t="n">
        <f aca="false">SUM(K16:K17)</f>
        <v>4</v>
      </c>
      <c r="L18" s="0" t="n">
        <f aca="false">SUM(L16:L17)</f>
        <v>4</v>
      </c>
      <c r="M18" s="0" t="n">
        <f aca="false">SUM(M16:M17)</f>
        <v>4</v>
      </c>
      <c r="N18" s="0" t="n">
        <f aca="false">SUM(N16:N17)</f>
        <v>4</v>
      </c>
      <c r="O18" s="0" t="n">
        <f aca="false">SUM(O16:O17)</f>
        <v>4</v>
      </c>
      <c r="P18" s="0" t="n">
        <f aca="false">SUM(P16:P17)</f>
        <v>4</v>
      </c>
    </row>
    <row r="19" customFormat="false" ht="38.8" hidden="false" customHeight="true" outlineLevel="0" collapsed="false">
      <c r="A19" s="9" t="s">
        <v>43</v>
      </c>
      <c r="B19" s="12"/>
      <c r="C19" s="12"/>
      <c r="D19" s="12"/>
      <c r="E19" s="12"/>
      <c r="F19" s="12"/>
    </row>
    <row r="21" customFormat="false" ht="26.1" hidden="false" customHeight="true" outlineLevel="0" collapsed="false">
      <c r="A21" s="1" t="s">
        <v>22</v>
      </c>
    </row>
    <row r="22" customFormat="false" ht="20.85" hidden="false" customHeight="true" outlineLevel="0" collapsed="false">
      <c r="A22" s="13" t="s">
        <v>57</v>
      </c>
      <c r="B22" s="0" t="s">
        <v>58</v>
      </c>
      <c r="C22" s="0" t="s">
        <v>59</v>
      </c>
      <c r="D22" s="0" t="s">
        <v>60</v>
      </c>
      <c r="E22" s="0" t="s">
        <v>32</v>
      </c>
      <c r="F22" s="1" t="s">
        <v>33</v>
      </c>
      <c r="G22" s="1"/>
    </row>
    <row r="23" customFormat="false" ht="13.8" hidden="false" customHeight="false" outlineLevel="0" collapsed="false">
      <c r="A23" s="0" t="s">
        <v>61</v>
      </c>
      <c r="B23" s="0" t="n">
        <v>4</v>
      </c>
      <c r="C23" s="0" t="n">
        <v>2</v>
      </c>
      <c r="D23" s="0" t="n">
        <v>1</v>
      </c>
      <c r="E23" s="0" t="n">
        <v>4</v>
      </c>
      <c r="F23" s="0" t="n">
        <v>2</v>
      </c>
    </row>
    <row r="24" customFormat="false" ht="13.8" hidden="false" customHeight="false" outlineLevel="0" collapsed="false">
      <c r="A24" s="0" t="s">
        <v>62</v>
      </c>
      <c r="B24" s="0" t="n">
        <v>4</v>
      </c>
      <c r="C24" s="0" t="n">
        <v>2</v>
      </c>
      <c r="D24" s="0" t="n">
        <v>1</v>
      </c>
      <c r="E24" s="0" t="n">
        <v>4</v>
      </c>
      <c r="F24" s="0" t="n">
        <v>2</v>
      </c>
    </row>
    <row r="25" customFormat="false" ht="13.8" hidden="false" customHeight="false" outlineLevel="0" collapsed="false">
      <c r="A25" s="0" t="s">
        <v>63</v>
      </c>
      <c r="B25" s="0" t="n">
        <v>4</v>
      </c>
      <c r="C25" s="0" t="n">
        <v>2</v>
      </c>
      <c r="D25" s="0" t="n">
        <v>1</v>
      </c>
      <c r="E25" s="0" t="n">
        <v>4</v>
      </c>
      <c r="F25" s="0" t="n">
        <v>2</v>
      </c>
    </row>
    <row r="26" customFormat="false" ht="13.8" hidden="false" customHeight="false" outlineLevel="0" collapsed="false">
      <c r="A26" s="0" t="s">
        <v>64</v>
      </c>
      <c r="B26" s="0" t="n">
        <v>4</v>
      </c>
      <c r="C26" s="0" t="n">
        <v>2</v>
      </c>
      <c r="D26" s="0" t="n">
        <v>1</v>
      </c>
      <c r="E26" s="0" t="n">
        <v>4</v>
      </c>
      <c r="F26" s="0" t="n">
        <v>4</v>
      </c>
    </row>
    <row r="27" customFormat="false" ht="13.8" hidden="false" customHeight="false" outlineLevel="0" collapsed="false">
      <c r="A27" s="0" t="s">
        <v>65</v>
      </c>
      <c r="B27" s="0" t="n">
        <v>4</v>
      </c>
      <c r="C27" s="0" t="n">
        <v>2</v>
      </c>
      <c r="D27" s="0" t="n">
        <v>1</v>
      </c>
      <c r="E27" s="0" t="n">
        <v>4</v>
      </c>
      <c r="F27" s="0" t="n">
        <v>2</v>
      </c>
    </row>
    <row r="28" customFormat="false" ht="13.8" hidden="false" customHeight="false" outlineLevel="0" collapsed="false">
      <c r="A28" s="0" t="s">
        <v>66</v>
      </c>
      <c r="B28" s="0" t="n">
        <v>4</v>
      </c>
      <c r="C28" s="0" t="n">
        <v>2</v>
      </c>
      <c r="D28" s="0" t="n">
        <v>1</v>
      </c>
      <c r="E28" s="0" t="n">
        <v>4</v>
      </c>
      <c r="F28" s="0" t="n">
        <v>4</v>
      </c>
    </row>
    <row r="29" customFormat="false" ht="13.8" hidden="false" customHeight="false" outlineLevel="0" collapsed="false">
      <c r="A29" s="0" t="s">
        <v>67</v>
      </c>
      <c r="B29" s="0" t="n">
        <v>2</v>
      </c>
      <c r="C29" s="0" t="n">
        <v>1</v>
      </c>
      <c r="D29" s="0" t="n">
        <v>0</v>
      </c>
      <c r="E29" s="0" t="n">
        <v>2</v>
      </c>
      <c r="F29" s="0" t="n">
        <v>2</v>
      </c>
    </row>
    <row r="30" customFormat="false" ht="13.8" hidden="false" customHeight="false" outlineLevel="0" collapsed="false">
      <c r="A30" s="0" t="s">
        <v>68</v>
      </c>
      <c r="B30" s="0" t="n">
        <v>3</v>
      </c>
      <c r="C30" s="0" t="n">
        <v>2</v>
      </c>
      <c r="D30" s="0" t="n">
        <v>1</v>
      </c>
      <c r="E30" s="0" t="n">
        <v>3</v>
      </c>
      <c r="F30" s="0" t="n">
        <v>3</v>
      </c>
    </row>
    <row r="31" customFormat="false" ht="13.8" hidden="false" customHeight="false" outlineLevel="0" collapsed="false">
      <c r="A31" s="0" t="s">
        <v>69</v>
      </c>
      <c r="B31" s="0" t="n">
        <v>3</v>
      </c>
      <c r="C31" s="0" t="n">
        <v>2</v>
      </c>
      <c r="D31" s="0" t="n">
        <v>1</v>
      </c>
      <c r="E31" s="0" t="n">
        <v>3</v>
      </c>
      <c r="F31" s="0" t="n">
        <v>3</v>
      </c>
    </row>
    <row r="32" customFormat="false" ht="13.8" hidden="false" customHeight="false" outlineLevel="0" collapsed="false">
      <c r="A32" s="0" t="s">
        <v>70</v>
      </c>
      <c r="B32" s="0" t="n">
        <v>2</v>
      </c>
      <c r="C32" s="0" t="n">
        <v>1</v>
      </c>
      <c r="D32" s="0" t="n">
        <v>0</v>
      </c>
      <c r="E32" s="0" t="n">
        <v>2</v>
      </c>
      <c r="F32" s="0" t="n">
        <v>2</v>
      </c>
    </row>
    <row r="33" customFormat="false" ht="13.8" hidden="false" customHeight="false" outlineLevel="0" collapsed="false">
      <c r="A33" s="0" t="s">
        <v>71</v>
      </c>
      <c r="B33" s="0" t="n">
        <v>1</v>
      </c>
      <c r="C33" s="0" t="n">
        <v>0</v>
      </c>
      <c r="D33" s="0" t="n">
        <v>0</v>
      </c>
      <c r="E33" s="0" t="n">
        <v>1</v>
      </c>
      <c r="F33" s="0" t="n">
        <v>1</v>
      </c>
    </row>
    <row r="34" customFormat="false" ht="13.8" hidden="false" customHeight="false" outlineLevel="0" collapsed="false">
      <c r="A34" s="0" t="s">
        <v>72</v>
      </c>
      <c r="B34" s="0" t="n">
        <v>2</v>
      </c>
      <c r="C34" s="0" t="n">
        <v>1</v>
      </c>
      <c r="D34" s="0" t="n">
        <v>0</v>
      </c>
      <c r="E34" s="0" t="n">
        <v>2</v>
      </c>
      <c r="F34" s="0" t="n">
        <v>3</v>
      </c>
    </row>
    <row r="35" customFormat="false" ht="13.8" hidden="false" customHeight="false" outlineLevel="0" collapsed="false">
      <c r="A35" s="0" t="s">
        <v>73</v>
      </c>
      <c r="B35" s="0" t="n">
        <v>2</v>
      </c>
      <c r="C35" s="0" t="n">
        <v>1</v>
      </c>
      <c r="D35" s="0" t="n">
        <v>0</v>
      </c>
      <c r="E35" s="0" t="n">
        <v>2</v>
      </c>
      <c r="F35" s="0" t="n">
        <v>1</v>
      </c>
    </row>
    <row r="36" customFormat="false" ht="13.8" hidden="false" customHeight="false" outlineLevel="0" collapsed="false">
      <c r="A36" s="0" t="s">
        <v>74</v>
      </c>
      <c r="B36" s="0" t="n">
        <v>1</v>
      </c>
      <c r="C36" s="0" t="n">
        <v>0</v>
      </c>
      <c r="D36" s="0" t="n">
        <v>0</v>
      </c>
      <c r="E36" s="0" t="n">
        <v>1</v>
      </c>
      <c r="F36" s="0" t="n">
        <v>1</v>
      </c>
    </row>
    <row r="37" customFormat="false" ht="13.8" hidden="false" customHeight="false" outlineLevel="0" collapsed="false">
      <c r="A37" s="0" t="s">
        <v>75</v>
      </c>
      <c r="E37" s="0" t="n">
        <f aca="false">SUM(E23:E36)</f>
        <v>40</v>
      </c>
      <c r="F37" s="1" t="n">
        <f aca="false">SUM(F23:F36)</f>
        <v>32</v>
      </c>
    </row>
    <row r="38" customFormat="false" ht="36.55" hidden="false" customHeight="true" outlineLevel="0" collapsed="false">
      <c r="A38" s="9" t="s">
        <v>43</v>
      </c>
      <c r="B38" s="12"/>
      <c r="C38" s="12"/>
      <c r="D38" s="12"/>
      <c r="E38" s="12"/>
      <c r="F38" s="12"/>
    </row>
  </sheetData>
  <mergeCells count="9">
    <mergeCell ref="B5:D5"/>
    <mergeCell ref="B6:D6"/>
    <mergeCell ref="B7:D7"/>
    <mergeCell ref="B8:D8"/>
    <mergeCell ref="B9:D9"/>
    <mergeCell ref="B10:D10"/>
    <mergeCell ref="B12:F12"/>
    <mergeCell ref="B19:F19"/>
    <mergeCell ref="B38:F38"/>
  </mergeCells>
  <dataValidations count="1">
    <dataValidation allowBlank="true" errorStyle="stop" operator="between" showDropDown="false" showErrorMessage="false" showInputMessage="false" sqref="F23:G36" type="list">
      <formula1>"Excellent,Satisfaisant,À améliorer"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P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23" activeCellId="0" sqref="K23"/>
    </sheetView>
  </sheetViews>
  <sheetFormatPr defaultColWidth="8.54296875" defaultRowHeight="13.8" zeroHeight="false" outlineLevelRow="0" outlineLevelCol="0"/>
  <cols>
    <col collapsed="false" customWidth="true" hidden="false" outlineLevel="0" max="1" min="1" style="0" width="20.06"/>
    <col collapsed="false" customWidth="true" hidden="false" outlineLevel="0" max="3" min="3" style="0" width="10.96"/>
    <col collapsed="false" customWidth="true" hidden="false" outlineLevel="0" max="4" min="4" style="0" width="10.72"/>
    <col collapsed="false" customWidth="true" hidden="false" outlineLevel="0" max="5" min="5" style="0" width="10.51"/>
    <col collapsed="false" customWidth="true" hidden="false" outlineLevel="0" max="6" min="6" style="0" width="19.95"/>
  </cols>
  <sheetData>
    <row r="2" customFormat="false" ht="13.8" hidden="false" customHeight="false" outlineLevel="0" collapsed="false">
      <c r="A2" s="0" t="s">
        <v>28</v>
      </c>
      <c r="B2" s="0" t="s">
        <v>77</v>
      </c>
    </row>
    <row r="4" customFormat="false" ht="20.1" hidden="false" customHeight="true" outlineLevel="0" collapsed="false">
      <c r="A4" s="9" t="s">
        <v>16</v>
      </c>
    </row>
    <row r="5" customFormat="false" ht="14.9" hidden="false" customHeight="true" outlineLevel="0" collapsed="false">
      <c r="A5" s="10" t="s">
        <v>30</v>
      </c>
      <c r="B5" s="11" t="s">
        <v>31</v>
      </c>
      <c r="C5" s="11"/>
      <c r="D5" s="11"/>
      <c r="E5" s="0" t="s">
        <v>32</v>
      </c>
      <c r="F5" s="9" t="s">
        <v>33</v>
      </c>
      <c r="G5" s="9"/>
    </row>
    <row r="6" customFormat="false" ht="28.35" hidden="false" customHeight="true" outlineLevel="0" collapsed="false">
      <c r="A6" s="6" t="s">
        <v>0</v>
      </c>
      <c r="B6" s="11" t="s">
        <v>34</v>
      </c>
      <c r="C6" s="11"/>
      <c r="D6" s="11"/>
      <c r="E6" s="0" t="n">
        <v>4</v>
      </c>
      <c r="F6" s="0" t="n">
        <v>4</v>
      </c>
    </row>
    <row r="7" customFormat="false" ht="28.35" hidden="false" customHeight="true" outlineLevel="0" collapsed="false">
      <c r="A7" s="6" t="s">
        <v>35</v>
      </c>
      <c r="B7" s="11" t="s">
        <v>36</v>
      </c>
      <c r="C7" s="11"/>
      <c r="D7" s="11"/>
      <c r="E7" s="0" t="n">
        <v>4</v>
      </c>
      <c r="F7" s="0" t="n">
        <v>3</v>
      </c>
    </row>
    <row r="8" customFormat="false" ht="28.35" hidden="false" customHeight="true" outlineLevel="0" collapsed="false">
      <c r="A8" s="6" t="s">
        <v>37</v>
      </c>
      <c r="B8" s="11" t="s">
        <v>38</v>
      </c>
      <c r="C8" s="11"/>
      <c r="D8" s="11"/>
      <c r="E8" s="0" t="n">
        <v>4</v>
      </c>
      <c r="F8" s="0" t="n">
        <v>4</v>
      </c>
    </row>
    <row r="9" customFormat="false" ht="28.35" hidden="false" customHeight="true" outlineLevel="0" collapsed="false">
      <c r="A9" s="6" t="s">
        <v>39</v>
      </c>
      <c r="B9" s="11" t="s">
        <v>40</v>
      </c>
      <c r="C9" s="11"/>
      <c r="D9" s="11"/>
      <c r="E9" s="0" t="n">
        <v>4</v>
      </c>
      <c r="F9" s="0" t="n">
        <v>4</v>
      </c>
    </row>
    <row r="10" customFormat="false" ht="28.35" hidden="false" customHeight="true" outlineLevel="0" collapsed="false">
      <c r="A10" s="6" t="s">
        <v>41</v>
      </c>
      <c r="B10" s="11" t="s">
        <v>42</v>
      </c>
      <c r="C10" s="11"/>
      <c r="D10" s="11"/>
      <c r="E10" s="0" t="n">
        <v>4</v>
      </c>
      <c r="F10" s="0" t="n">
        <v>3</v>
      </c>
    </row>
    <row r="11" customFormat="false" ht="13.8" hidden="false" customHeight="false" outlineLevel="0" collapsed="false">
      <c r="A11" s="9"/>
      <c r="E11" s="0" t="n">
        <f aca="false">SUM(E6:E10)</f>
        <v>20</v>
      </c>
      <c r="F11" s="1" t="n">
        <f aca="false">SUM(F6:F10)</f>
        <v>18</v>
      </c>
    </row>
    <row r="12" customFormat="false" ht="43.25" hidden="false" customHeight="true" outlineLevel="0" collapsed="false">
      <c r="A12" s="9" t="s">
        <v>43</v>
      </c>
      <c r="B12" s="12"/>
      <c r="C12" s="12"/>
      <c r="D12" s="12"/>
      <c r="E12" s="12"/>
      <c r="F12" s="12"/>
    </row>
    <row r="13" customFormat="false" ht="13.8" hidden="false" customHeight="false" outlineLevel="0" collapsed="false">
      <c r="A13" s="9"/>
    </row>
    <row r="14" customFormat="false" ht="14.9" hidden="false" customHeight="false" outlineLevel="0" collapsed="false">
      <c r="A14" s="9" t="s">
        <v>21</v>
      </c>
    </row>
    <row r="15" customFormat="false" ht="13.8" hidden="false" customHeight="false" outlineLevel="0" collapsed="false">
      <c r="F15" s="1" t="s">
        <v>44</v>
      </c>
      <c r="G15" s="1" t="s">
        <v>45</v>
      </c>
      <c r="H15" s="1" t="s">
        <v>46</v>
      </c>
      <c r="I15" s="1" t="s">
        <v>47</v>
      </c>
      <c r="J15" s="1" t="s">
        <v>48</v>
      </c>
      <c r="K15" s="1" t="s">
        <v>49</v>
      </c>
      <c r="L15" s="1" t="s">
        <v>50</v>
      </c>
      <c r="M15" s="1" t="s">
        <v>51</v>
      </c>
      <c r="N15" s="1" t="s">
        <v>52</v>
      </c>
      <c r="O15" s="1" t="s">
        <v>53</v>
      </c>
      <c r="P15" s="1" t="s">
        <v>54</v>
      </c>
    </row>
    <row r="16" customFormat="false" ht="14.9" hidden="false" customHeight="false" outlineLevel="0" collapsed="false">
      <c r="A16" s="6" t="s">
        <v>55</v>
      </c>
      <c r="E16" s="0" t="n">
        <v>20</v>
      </c>
      <c r="F16" s="0" t="n">
        <f aca="false">SUM(G16:P16)</f>
        <v>20</v>
      </c>
      <c r="G16" s="0" t="n">
        <v>2</v>
      </c>
      <c r="H16" s="0" t="n">
        <v>2</v>
      </c>
      <c r="I16" s="0" t="n">
        <v>2</v>
      </c>
      <c r="J16" s="0" t="n">
        <v>2</v>
      </c>
      <c r="K16" s="0" t="n">
        <v>2</v>
      </c>
      <c r="L16" s="0" t="n">
        <v>2</v>
      </c>
      <c r="M16" s="0" t="n">
        <v>2</v>
      </c>
      <c r="N16" s="0" t="n">
        <v>2</v>
      </c>
      <c r="O16" s="0" t="n">
        <v>2</v>
      </c>
      <c r="P16" s="0" t="n">
        <v>2</v>
      </c>
    </row>
    <row r="17" customFormat="false" ht="13.8" hidden="false" customHeight="false" outlineLevel="0" collapsed="false">
      <c r="A17" s="7" t="s">
        <v>56</v>
      </c>
      <c r="E17" s="0" t="n">
        <v>20</v>
      </c>
      <c r="F17" s="0" t="n">
        <f aca="false">SUM(G17:P17)</f>
        <v>20</v>
      </c>
      <c r="G17" s="0" t="n">
        <v>2</v>
      </c>
      <c r="H17" s="0" t="n">
        <v>2</v>
      </c>
      <c r="I17" s="0" t="n">
        <v>2</v>
      </c>
      <c r="J17" s="0" t="n">
        <v>2</v>
      </c>
      <c r="K17" s="0" t="n">
        <v>2</v>
      </c>
      <c r="L17" s="0" t="n">
        <v>2</v>
      </c>
      <c r="M17" s="0" t="n">
        <v>2</v>
      </c>
      <c r="N17" s="0" t="n">
        <v>2</v>
      </c>
      <c r="O17" s="0" t="n">
        <v>2</v>
      </c>
      <c r="P17" s="0" t="n">
        <v>2</v>
      </c>
    </row>
    <row r="18" customFormat="false" ht="13.8" hidden="false" customHeight="false" outlineLevel="0" collapsed="false">
      <c r="E18" s="0" t="n">
        <f aca="false">SUM(E16:E17)</f>
        <v>40</v>
      </c>
      <c r="F18" s="1" t="n">
        <f aca="false">SUM(F16:F17)</f>
        <v>40</v>
      </c>
      <c r="G18" s="0" t="n">
        <f aca="false">SUM(G16:G17)</f>
        <v>4</v>
      </c>
      <c r="H18" s="0" t="n">
        <f aca="false">SUM(H16:H17)</f>
        <v>4</v>
      </c>
      <c r="I18" s="0" t="n">
        <f aca="false">SUM(I16:I17)</f>
        <v>4</v>
      </c>
      <c r="J18" s="0" t="n">
        <f aca="false">SUM(J16:J17)</f>
        <v>4</v>
      </c>
      <c r="K18" s="0" t="n">
        <f aca="false">SUM(K16:K17)</f>
        <v>4</v>
      </c>
      <c r="L18" s="0" t="n">
        <f aca="false">SUM(L16:L17)</f>
        <v>4</v>
      </c>
      <c r="M18" s="0" t="n">
        <f aca="false">SUM(M16:M17)</f>
        <v>4</v>
      </c>
      <c r="N18" s="0" t="n">
        <f aca="false">SUM(N16:N17)</f>
        <v>4</v>
      </c>
      <c r="O18" s="0" t="n">
        <f aca="false">SUM(O16:O17)</f>
        <v>4</v>
      </c>
      <c r="P18" s="0" t="n">
        <f aca="false">SUM(P16:P17)</f>
        <v>4</v>
      </c>
    </row>
    <row r="19" customFormat="false" ht="38.8" hidden="false" customHeight="true" outlineLevel="0" collapsed="false">
      <c r="A19" s="9" t="s">
        <v>43</v>
      </c>
      <c r="B19" s="12"/>
      <c r="C19" s="12"/>
      <c r="D19" s="12"/>
      <c r="E19" s="12"/>
      <c r="F19" s="12"/>
    </row>
    <row r="21" customFormat="false" ht="26.1" hidden="false" customHeight="true" outlineLevel="0" collapsed="false">
      <c r="A21" s="1" t="s">
        <v>22</v>
      </c>
    </row>
    <row r="22" customFormat="false" ht="20.85" hidden="false" customHeight="true" outlineLevel="0" collapsed="false">
      <c r="A22" s="13" t="s">
        <v>57</v>
      </c>
      <c r="B22" s="0" t="s">
        <v>58</v>
      </c>
      <c r="C22" s="0" t="s">
        <v>59</v>
      </c>
      <c r="D22" s="0" t="s">
        <v>60</v>
      </c>
      <c r="E22" s="0" t="s">
        <v>32</v>
      </c>
      <c r="F22" s="1" t="s">
        <v>33</v>
      </c>
      <c r="G22" s="1"/>
    </row>
    <row r="23" customFormat="false" ht="13.8" hidden="false" customHeight="false" outlineLevel="0" collapsed="false">
      <c r="A23" s="0" t="s">
        <v>61</v>
      </c>
      <c r="B23" s="0" t="n">
        <v>4</v>
      </c>
      <c r="C23" s="0" t="n">
        <v>2</v>
      </c>
      <c r="D23" s="0" t="n">
        <v>1</v>
      </c>
      <c r="E23" s="0" t="n">
        <v>4</v>
      </c>
      <c r="F23" s="0" t="n">
        <v>4</v>
      </c>
    </row>
    <row r="24" customFormat="false" ht="13.8" hidden="false" customHeight="false" outlineLevel="0" collapsed="false">
      <c r="A24" s="0" t="s">
        <v>62</v>
      </c>
      <c r="B24" s="0" t="n">
        <v>4</v>
      </c>
      <c r="C24" s="0" t="n">
        <v>2</v>
      </c>
      <c r="D24" s="0" t="n">
        <v>1</v>
      </c>
      <c r="E24" s="0" t="n">
        <v>4</v>
      </c>
      <c r="F24" s="0" t="n">
        <v>4</v>
      </c>
    </row>
    <row r="25" customFormat="false" ht="13.8" hidden="false" customHeight="false" outlineLevel="0" collapsed="false">
      <c r="A25" s="0" t="s">
        <v>63</v>
      </c>
      <c r="B25" s="0" t="n">
        <v>4</v>
      </c>
      <c r="C25" s="0" t="n">
        <v>2</v>
      </c>
      <c r="D25" s="0" t="n">
        <v>1</v>
      </c>
      <c r="E25" s="0" t="n">
        <v>4</v>
      </c>
      <c r="F25" s="0" t="n">
        <v>4</v>
      </c>
    </row>
    <row r="26" customFormat="false" ht="13.8" hidden="false" customHeight="false" outlineLevel="0" collapsed="false">
      <c r="A26" s="0" t="s">
        <v>64</v>
      </c>
      <c r="B26" s="0" t="n">
        <v>4</v>
      </c>
      <c r="C26" s="0" t="n">
        <v>2</v>
      </c>
      <c r="D26" s="0" t="n">
        <v>1</v>
      </c>
      <c r="E26" s="0" t="n">
        <v>4</v>
      </c>
      <c r="F26" s="0" t="n">
        <v>3</v>
      </c>
    </row>
    <row r="27" customFormat="false" ht="13.8" hidden="false" customHeight="false" outlineLevel="0" collapsed="false">
      <c r="A27" s="0" t="s">
        <v>65</v>
      </c>
      <c r="B27" s="0" t="n">
        <v>4</v>
      </c>
      <c r="C27" s="0" t="n">
        <v>2</v>
      </c>
      <c r="D27" s="0" t="n">
        <v>1</v>
      </c>
      <c r="E27" s="0" t="n">
        <v>4</v>
      </c>
      <c r="F27" s="0" t="n">
        <v>4</v>
      </c>
    </row>
    <row r="28" customFormat="false" ht="13.8" hidden="false" customHeight="false" outlineLevel="0" collapsed="false">
      <c r="A28" s="0" t="s">
        <v>66</v>
      </c>
      <c r="B28" s="0" t="n">
        <v>4</v>
      </c>
      <c r="C28" s="0" t="n">
        <v>2</v>
      </c>
      <c r="D28" s="0" t="n">
        <v>1</v>
      </c>
      <c r="E28" s="0" t="n">
        <v>4</v>
      </c>
      <c r="F28" s="0" t="n">
        <v>4</v>
      </c>
    </row>
    <row r="29" customFormat="false" ht="13.8" hidden="false" customHeight="false" outlineLevel="0" collapsed="false">
      <c r="A29" s="0" t="s">
        <v>67</v>
      </c>
      <c r="B29" s="0" t="n">
        <v>2</v>
      </c>
      <c r="C29" s="0" t="n">
        <v>1</v>
      </c>
      <c r="D29" s="0" t="n">
        <v>0</v>
      </c>
      <c r="E29" s="0" t="n">
        <v>2</v>
      </c>
      <c r="F29" s="0" t="n">
        <v>2</v>
      </c>
    </row>
    <row r="30" customFormat="false" ht="13.8" hidden="false" customHeight="false" outlineLevel="0" collapsed="false">
      <c r="A30" s="0" t="s">
        <v>68</v>
      </c>
      <c r="B30" s="0" t="n">
        <v>3</v>
      </c>
      <c r="C30" s="0" t="n">
        <v>2</v>
      </c>
      <c r="D30" s="0" t="n">
        <v>1</v>
      </c>
      <c r="E30" s="0" t="n">
        <v>3</v>
      </c>
      <c r="F30" s="0" t="n">
        <v>2</v>
      </c>
    </row>
    <row r="31" customFormat="false" ht="13.8" hidden="false" customHeight="false" outlineLevel="0" collapsed="false">
      <c r="A31" s="0" t="s">
        <v>69</v>
      </c>
      <c r="B31" s="0" t="n">
        <v>3</v>
      </c>
      <c r="C31" s="0" t="n">
        <v>2</v>
      </c>
      <c r="D31" s="0" t="n">
        <v>1</v>
      </c>
      <c r="E31" s="0" t="n">
        <v>3</v>
      </c>
      <c r="F31" s="0" t="n">
        <v>3</v>
      </c>
    </row>
    <row r="32" customFormat="false" ht="13.8" hidden="false" customHeight="false" outlineLevel="0" collapsed="false">
      <c r="A32" s="0" t="s">
        <v>70</v>
      </c>
      <c r="B32" s="0" t="n">
        <v>2</v>
      </c>
      <c r="C32" s="0" t="n">
        <v>1</v>
      </c>
      <c r="D32" s="0" t="n">
        <v>0</v>
      </c>
      <c r="E32" s="0" t="n">
        <v>2</v>
      </c>
      <c r="F32" s="0" t="n">
        <v>2</v>
      </c>
    </row>
    <row r="33" customFormat="false" ht="13.8" hidden="false" customHeight="false" outlineLevel="0" collapsed="false">
      <c r="A33" s="0" t="s">
        <v>71</v>
      </c>
      <c r="B33" s="0" t="n">
        <v>1</v>
      </c>
      <c r="C33" s="0" t="n">
        <v>0</v>
      </c>
      <c r="D33" s="0" t="n">
        <v>0</v>
      </c>
      <c r="E33" s="0" t="n">
        <v>1</v>
      </c>
      <c r="F33" s="0" t="n">
        <v>1</v>
      </c>
    </row>
    <row r="34" customFormat="false" ht="13.8" hidden="false" customHeight="false" outlineLevel="0" collapsed="false">
      <c r="A34" s="0" t="s">
        <v>72</v>
      </c>
      <c r="B34" s="0" t="n">
        <v>2</v>
      </c>
      <c r="C34" s="0" t="n">
        <v>1</v>
      </c>
      <c r="D34" s="0" t="n">
        <v>0</v>
      </c>
      <c r="E34" s="0" t="n">
        <v>2</v>
      </c>
      <c r="F34" s="0" t="n">
        <v>2</v>
      </c>
    </row>
    <row r="35" customFormat="false" ht="13.8" hidden="false" customHeight="false" outlineLevel="0" collapsed="false">
      <c r="A35" s="0" t="s">
        <v>73</v>
      </c>
      <c r="B35" s="0" t="n">
        <v>2</v>
      </c>
      <c r="C35" s="0" t="n">
        <v>1</v>
      </c>
      <c r="D35" s="0" t="n">
        <v>0</v>
      </c>
      <c r="E35" s="0" t="n">
        <v>2</v>
      </c>
      <c r="F35" s="0" t="n">
        <v>1</v>
      </c>
    </row>
    <row r="36" customFormat="false" ht="13.8" hidden="false" customHeight="false" outlineLevel="0" collapsed="false">
      <c r="A36" s="0" t="s">
        <v>74</v>
      </c>
      <c r="B36" s="0" t="n">
        <v>1</v>
      </c>
      <c r="C36" s="0" t="n">
        <v>0</v>
      </c>
      <c r="D36" s="0" t="n">
        <v>0</v>
      </c>
      <c r="E36" s="0" t="n">
        <v>1</v>
      </c>
      <c r="F36" s="0" t="n">
        <v>1</v>
      </c>
    </row>
    <row r="37" customFormat="false" ht="13.8" hidden="false" customHeight="false" outlineLevel="0" collapsed="false">
      <c r="A37" s="0" t="s">
        <v>75</v>
      </c>
      <c r="E37" s="0" t="n">
        <f aca="false">SUM(E23:E36)</f>
        <v>40</v>
      </c>
      <c r="F37" s="1" t="n">
        <f aca="false">SUM(F23:F36)</f>
        <v>37</v>
      </c>
    </row>
    <row r="38" customFormat="false" ht="36.55" hidden="false" customHeight="true" outlineLevel="0" collapsed="false">
      <c r="A38" s="9" t="s">
        <v>43</v>
      </c>
      <c r="B38" s="12"/>
      <c r="C38" s="12"/>
      <c r="D38" s="12"/>
      <c r="E38" s="12"/>
      <c r="F38" s="12"/>
    </row>
  </sheetData>
  <mergeCells count="9">
    <mergeCell ref="B5:D5"/>
    <mergeCell ref="B6:D6"/>
    <mergeCell ref="B7:D7"/>
    <mergeCell ref="B8:D8"/>
    <mergeCell ref="B9:D9"/>
    <mergeCell ref="B10:D10"/>
    <mergeCell ref="B12:F12"/>
    <mergeCell ref="B19:F19"/>
    <mergeCell ref="B38:F38"/>
  </mergeCells>
  <dataValidations count="1">
    <dataValidation allowBlank="true" errorStyle="stop" operator="between" showDropDown="false" showErrorMessage="false" showInputMessage="false" sqref="F23:G36" type="list">
      <formula1>"Excellent,Satisfaisant,À améliorer"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P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4" activeCellId="0" sqref="I24"/>
    </sheetView>
  </sheetViews>
  <sheetFormatPr defaultColWidth="8.54296875" defaultRowHeight="13.8" zeroHeight="false" outlineLevelRow="0" outlineLevelCol="0"/>
  <cols>
    <col collapsed="false" customWidth="true" hidden="false" outlineLevel="0" max="1" min="1" style="0" width="20.06"/>
    <col collapsed="false" customWidth="true" hidden="false" outlineLevel="0" max="3" min="3" style="0" width="10.96"/>
    <col collapsed="false" customWidth="true" hidden="false" outlineLevel="0" max="4" min="4" style="0" width="10.72"/>
    <col collapsed="false" customWidth="true" hidden="false" outlineLevel="0" max="5" min="5" style="0" width="10.51"/>
    <col collapsed="false" customWidth="true" hidden="false" outlineLevel="0" max="6" min="6" style="0" width="19.95"/>
  </cols>
  <sheetData>
    <row r="2" customFormat="false" ht="13.8" hidden="false" customHeight="false" outlineLevel="0" collapsed="false">
      <c r="A2" s="0" t="s">
        <v>28</v>
      </c>
      <c r="B2" s="0" t="s">
        <v>78</v>
      </c>
    </row>
    <row r="4" customFormat="false" ht="20.1" hidden="false" customHeight="true" outlineLevel="0" collapsed="false">
      <c r="A4" s="9" t="s">
        <v>16</v>
      </c>
    </row>
    <row r="5" customFormat="false" ht="14.9" hidden="false" customHeight="true" outlineLevel="0" collapsed="false">
      <c r="A5" s="10" t="s">
        <v>30</v>
      </c>
      <c r="B5" s="11" t="s">
        <v>31</v>
      </c>
      <c r="C5" s="11"/>
      <c r="D5" s="11"/>
      <c r="E5" s="0" t="s">
        <v>32</v>
      </c>
      <c r="F5" s="9" t="s">
        <v>33</v>
      </c>
      <c r="G5" s="9"/>
    </row>
    <row r="6" customFormat="false" ht="28.35" hidden="false" customHeight="true" outlineLevel="0" collapsed="false">
      <c r="A6" s="6" t="s">
        <v>0</v>
      </c>
      <c r="B6" s="11" t="s">
        <v>34</v>
      </c>
      <c r="C6" s="11"/>
      <c r="D6" s="11"/>
      <c r="E6" s="0" t="n">
        <v>4</v>
      </c>
      <c r="F6" s="0" t="n">
        <v>2</v>
      </c>
    </row>
    <row r="7" customFormat="false" ht="28.35" hidden="false" customHeight="true" outlineLevel="0" collapsed="false">
      <c r="A7" s="6" t="s">
        <v>35</v>
      </c>
      <c r="B7" s="11" t="s">
        <v>36</v>
      </c>
      <c r="C7" s="11"/>
      <c r="D7" s="11"/>
      <c r="E7" s="0" t="n">
        <v>4</v>
      </c>
      <c r="F7" s="0" t="n">
        <v>4</v>
      </c>
    </row>
    <row r="8" customFormat="false" ht="28.35" hidden="false" customHeight="true" outlineLevel="0" collapsed="false">
      <c r="A8" s="6" t="s">
        <v>37</v>
      </c>
      <c r="B8" s="11" t="s">
        <v>38</v>
      </c>
      <c r="C8" s="11"/>
      <c r="D8" s="11"/>
      <c r="E8" s="0" t="n">
        <v>4</v>
      </c>
      <c r="F8" s="0" t="n">
        <v>4</v>
      </c>
    </row>
    <row r="9" customFormat="false" ht="28.35" hidden="false" customHeight="true" outlineLevel="0" collapsed="false">
      <c r="A9" s="6" t="s">
        <v>39</v>
      </c>
      <c r="B9" s="11" t="s">
        <v>40</v>
      </c>
      <c r="C9" s="11"/>
      <c r="D9" s="11"/>
      <c r="E9" s="0" t="n">
        <v>4</v>
      </c>
      <c r="F9" s="0" t="n">
        <v>4</v>
      </c>
    </row>
    <row r="10" customFormat="false" ht="28.35" hidden="false" customHeight="true" outlineLevel="0" collapsed="false">
      <c r="A10" s="6" t="s">
        <v>41</v>
      </c>
      <c r="B10" s="11" t="s">
        <v>42</v>
      </c>
      <c r="C10" s="11"/>
      <c r="D10" s="11"/>
      <c r="E10" s="0" t="n">
        <v>4</v>
      </c>
      <c r="F10" s="0" t="n">
        <v>4</v>
      </c>
    </row>
    <row r="11" customFormat="false" ht="13.8" hidden="false" customHeight="false" outlineLevel="0" collapsed="false">
      <c r="A11" s="9"/>
      <c r="E11" s="0" t="n">
        <f aca="false">SUM(E6:E10)</f>
        <v>20</v>
      </c>
      <c r="F11" s="1" t="n">
        <f aca="false">SUM(F6:F10)</f>
        <v>18</v>
      </c>
    </row>
    <row r="12" customFormat="false" ht="43.25" hidden="false" customHeight="true" outlineLevel="0" collapsed="false">
      <c r="A12" s="9" t="s">
        <v>43</v>
      </c>
      <c r="B12" s="12"/>
      <c r="C12" s="12"/>
      <c r="D12" s="12"/>
      <c r="E12" s="12"/>
      <c r="F12" s="12"/>
    </row>
    <row r="13" customFormat="false" ht="13.8" hidden="false" customHeight="false" outlineLevel="0" collapsed="false">
      <c r="A13" s="9"/>
    </row>
    <row r="14" customFormat="false" ht="14.9" hidden="false" customHeight="false" outlineLevel="0" collapsed="false">
      <c r="A14" s="9" t="s">
        <v>21</v>
      </c>
    </row>
    <row r="15" customFormat="false" ht="13.8" hidden="false" customHeight="false" outlineLevel="0" collapsed="false">
      <c r="F15" s="1" t="s">
        <v>44</v>
      </c>
      <c r="G15" s="1" t="s">
        <v>45</v>
      </c>
      <c r="H15" s="1" t="s">
        <v>46</v>
      </c>
      <c r="I15" s="1" t="s">
        <v>47</v>
      </c>
      <c r="J15" s="1" t="s">
        <v>48</v>
      </c>
      <c r="K15" s="1" t="s">
        <v>49</v>
      </c>
      <c r="L15" s="1" t="s">
        <v>50</v>
      </c>
      <c r="M15" s="1" t="s">
        <v>51</v>
      </c>
      <c r="N15" s="1" t="s">
        <v>52</v>
      </c>
      <c r="O15" s="1" t="s">
        <v>53</v>
      </c>
      <c r="P15" s="1" t="s">
        <v>54</v>
      </c>
    </row>
    <row r="16" customFormat="false" ht="14.9" hidden="false" customHeight="false" outlineLevel="0" collapsed="false">
      <c r="A16" s="6" t="s">
        <v>55</v>
      </c>
      <c r="E16" s="0" t="n">
        <v>20</v>
      </c>
      <c r="F16" s="0" t="n">
        <f aca="false">SUM(G16:P16)</f>
        <v>20</v>
      </c>
      <c r="G16" s="0" t="n">
        <v>2</v>
      </c>
      <c r="H16" s="0" t="n">
        <v>2</v>
      </c>
      <c r="I16" s="0" t="n">
        <v>2</v>
      </c>
      <c r="J16" s="0" t="n">
        <v>2</v>
      </c>
      <c r="K16" s="0" t="n">
        <v>2</v>
      </c>
      <c r="L16" s="0" t="n">
        <v>2</v>
      </c>
      <c r="M16" s="0" t="n">
        <v>2</v>
      </c>
      <c r="N16" s="0" t="n">
        <v>2</v>
      </c>
      <c r="O16" s="0" t="n">
        <v>2</v>
      </c>
      <c r="P16" s="0" t="n">
        <v>2</v>
      </c>
    </row>
    <row r="17" customFormat="false" ht="13.8" hidden="false" customHeight="false" outlineLevel="0" collapsed="false">
      <c r="A17" s="7" t="s">
        <v>56</v>
      </c>
      <c r="E17" s="0" t="n">
        <v>20</v>
      </c>
      <c r="F17" s="0" t="n">
        <f aca="false">SUM(G17:P17)</f>
        <v>20</v>
      </c>
      <c r="G17" s="0" t="n">
        <v>2</v>
      </c>
      <c r="H17" s="0" t="n">
        <v>2</v>
      </c>
      <c r="I17" s="0" t="n">
        <v>2</v>
      </c>
      <c r="J17" s="0" t="n">
        <v>2</v>
      </c>
      <c r="K17" s="0" t="n">
        <v>2</v>
      </c>
      <c r="L17" s="0" t="n">
        <v>2</v>
      </c>
      <c r="M17" s="0" t="n">
        <v>2</v>
      </c>
      <c r="N17" s="0" t="n">
        <v>2</v>
      </c>
      <c r="O17" s="0" t="n">
        <v>2</v>
      </c>
      <c r="P17" s="0" t="n">
        <v>2</v>
      </c>
    </row>
    <row r="18" customFormat="false" ht="13.8" hidden="false" customHeight="false" outlineLevel="0" collapsed="false">
      <c r="E18" s="0" t="n">
        <f aca="false">SUM(E16:E17)</f>
        <v>40</v>
      </c>
      <c r="F18" s="1" t="n">
        <f aca="false">SUM(F16:F17)</f>
        <v>40</v>
      </c>
      <c r="G18" s="0" t="n">
        <f aca="false">SUM(G16:G17)</f>
        <v>4</v>
      </c>
      <c r="H18" s="0" t="n">
        <f aca="false">SUM(H16:H17)</f>
        <v>4</v>
      </c>
      <c r="I18" s="0" t="n">
        <f aca="false">SUM(I16:I17)</f>
        <v>4</v>
      </c>
      <c r="J18" s="0" t="n">
        <f aca="false">SUM(J16:J17)</f>
        <v>4</v>
      </c>
      <c r="K18" s="0" t="n">
        <f aca="false">SUM(K16:K17)</f>
        <v>4</v>
      </c>
      <c r="L18" s="0" t="n">
        <f aca="false">SUM(L16:L17)</f>
        <v>4</v>
      </c>
      <c r="M18" s="0" t="n">
        <f aca="false">SUM(M16:M17)</f>
        <v>4</v>
      </c>
      <c r="N18" s="0" t="n">
        <f aca="false">SUM(N16:N17)</f>
        <v>4</v>
      </c>
      <c r="O18" s="0" t="n">
        <f aca="false">SUM(O16:O17)</f>
        <v>4</v>
      </c>
      <c r="P18" s="0" t="n">
        <f aca="false">SUM(P16:P17)</f>
        <v>4</v>
      </c>
    </row>
    <row r="19" customFormat="false" ht="38.8" hidden="false" customHeight="true" outlineLevel="0" collapsed="false">
      <c r="A19" s="9" t="s">
        <v>43</v>
      </c>
      <c r="B19" s="12"/>
      <c r="C19" s="12"/>
      <c r="D19" s="12"/>
      <c r="E19" s="12"/>
      <c r="F19" s="12"/>
    </row>
    <row r="21" customFormat="false" ht="26.1" hidden="false" customHeight="true" outlineLevel="0" collapsed="false">
      <c r="A21" s="1" t="s">
        <v>22</v>
      </c>
    </row>
    <row r="22" customFormat="false" ht="20.85" hidden="false" customHeight="true" outlineLevel="0" collapsed="false">
      <c r="A22" s="13" t="s">
        <v>57</v>
      </c>
      <c r="B22" s="0" t="s">
        <v>58</v>
      </c>
      <c r="C22" s="0" t="s">
        <v>59</v>
      </c>
      <c r="D22" s="0" t="s">
        <v>60</v>
      </c>
      <c r="E22" s="0" t="s">
        <v>32</v>
      </c>
      <c r="F22" s="1" t="s">
        <v>33</v>
      </c>
      <c r="G22" s="1"/>
    </row>
    <row r="23" customFormat="false" ht="13.8" hidden="false" customHeight="false" outlineLevel="0" collapsed="false">
      <c r="A23" s="0" t="s">
        <v>61</v>
      </c>
      <c r="B23" s="0" t="n">
        <v>4</v>
      </c>
      <c r="C23" s="0" t="n">
        <v>2</v>
      </c>
      <c r="D23" s="0" t="n">
        <v>1</v>
      </c>
      <c r="E23" s="0" t="n">
        <v>4</v>
      </c>
      <c r="F23" s="0" t="n">
        <v>2</v>
      </c>
    </row>
    <row r="24" customFormat="false" ht="13.8" hidden="false" customHeight="false" outlineLevel="0" collapsed="false">
      <c r="A24" s="0" t="s">
        <v>62</v>
      </c>
      <c r="B24" s="0" t="n">
        <v>4</v>
      </c>
      <c r="C24" s="0" t="n">
        <v>2</v>
      </c>
      <c r="D24" s="0" t="n">
        <v>1</v>
      </c>
      <c r="E24" s="0" t="n">
        <v>4</v>
      </c>
      <c r="F24" s="0" t="n">
        <v>2</v>
      </c>
    </row>
    <row r="25" customFormat="false" ht="13.8" hidden="false" customHeight="false" outlineLevel="0" collapsed="false">
      <c r="A25" s="0" t="s">
        <v>63</v>
      </c>
      <c r="B25" s="0" t="n">
        <v>4</v>
      </c>
      <c r="C25" s="0" t="n">
        <v>2</v>
      </c>
      <c r="D25" s="0" t="n">
        <v>1</v>
      </c>
      <c r="E25" s="0" t="n">
        <v>4</v>
      </c>
      <c r="F25" s="0" t="n">
        <v>2</v>
      </c>
    </row>
    <row r="26" customFormat="false" ht="13.8" hidden="false" customHeight="false" outlineLevel="0" collapsed="false">
      <c r="A26" s="0" t="s">
        <v>64</v>
      </c>
      <c r="B26" s="0" t="n">
        <v>4</v>
      </c>
      <c r="C26" s="0" t="n">
        <v>2</v>
      </c>
      <c r="D26" s="0" t="n">
        <v>1</v>
      </c>
      <c r="E26" s="0" t="n">
        <v>4</v>
      </c>
      <c r="F26" s="0" t="n">
        <v>3</v>
      </c>
    </row>
    <row r="27" customFormat="false" ht="13.8" hidden="false" customHeight="false" outlineLevel="0" collapsed="false">
      <c r="A27" s="0" t="s">
        <v>65</v>
      </c>
      <c r="B27" s="0" t="n">
        <v>4</v>
      </c>
      <c r="C27" s="0" t="n">
        <v>2</v>
      </c>
      <c r="D27" s="0" t="n">
        <v>1</v>
      </c>
      <c r="E27" s="0" t="n">
        <v>4</v>
      </c>
      <c r="F27" s="0" t="n">
        <v>2</v>
      </c>
    </row>
    <row r="28" customFormat="false" ht="13.8" hidden="false" customHeight="false" outlineLevel="0" collapsed="false">
      <c r="A28" s="0" t="s">
        <v>66</v>
      </c>
      <c r="B28" s="0" t="n">
        <v>4</v>
      </c>
      <c r="C28" s="0" t="n">
        <v>2</v>
      </c>
      <c r="D28" s="0" t="n">
        <v>1</v>
      </c>
      <c r="E28" s="0" t="n">
        <v>4</v>
      </c>
      <c r="F28" s="0" t="n">
        <v>4</v>
      </c>
    </row>
    <row r="29" customFormat="false" ht="13.8" hidden="false" customHeight="false" outlineLevel="0" collapsed="false">
      <c r="A29" s="0" t="s">
        <v>67</v>
      </c>
      <c r="B29" s="0" t="n">
        <v>2</v>
      </c>
      <c r="C29" s="0" t="n">
        <v>1</v>
      </c>
      <c r="D29" s="0" t="n">
        <v>0</v>
      </c>
      <c r="E29" s="0" t="n">
        <v>2</v>
      </c>
      <c r="F29" s="0" t="n">
        <v>2</v>
      </c>
    </row>
    <row r="30" customFormat="false" ht="13.8" hidden="false" customHeight="false" outlineLevel="0" collapsed="false">
      <c r="A30" s="0" t="s">
        <v>68</v>
      </c>
      <c r="B30" s="0" t="n">
        <v>3</v>
      </c>
      <c r="C30" s="0" t="n">
        <v>2</v>
      </c>
      <c r="D30" s="0" t="n">
        <v>1</v>
      </c>
      <c r="E30" s="0" t="n">
        <v>3</v>
      </c>
      <c r="F30" s="0" t="n">
        <v>4</v>
      </c>
    </row>
    <row r="31" customFormat="false" ht="13.8" hidden="false" customHeight="false" outlineLevel="0" collapsed="false">
      <c r="A31" s="0" t="s">
        <v>69</v>
      </c>
      <c r="B31" s="0" t="n">
        <v>3</v>
      </c>
      <c r="C31" s="0" t="n">
        <v>2</v>
      </c>
      <c r="D31" s="0" t="n">
        <v>1</v>
      </c>
      <c r="E31" s="0" t="n">
        <v>3</v>
      </c>
      <c r="F31" s="0" t="n">
        <v>4</v>
      </c>
    </row>
    <row r="32" customFormat="false" ht="13.8" hidden="false" customHeight="false" outlineLevel="0" collapsed="false">
      <c r="A32" s="0" t="s">
        <v>70</v>
      </c>
      <c r="B32" s="0" t="n">
        <v>2</v>
      </c>
      <c r="C32" s="0" t="n">
        <v>1</v>
      </c>
      <c r="D32" s="0" t="n">
        <v>0</v>
      </c>
      <c r="E32" s="0" t="n">
        <v>2</v>
      </c>
      <c r="F32" s="0" t="n">
        <v>2</v>
      </c>
    </row>
    <row r="33" customFormat="false" ht="13.8" hidden="false" customHeight="false" outlineLevel="0" collapsed="false">
      <c r="A33" s="0" t="s">
        <v>71</v>
      </c>
      <c r="B33" s="0" t="n">
        <v>1</v>
      </c>
      <c r="C33" s="0" t="n">
        <v>0</v>
      </c>
      <c r="D33" s="0" t="n">
        <v>0</v>
      </c>
      <c r="E33" s="0" t="n">
        <v>1</v>
      </c>
      <c r="F33" s="0" t="n">
        <v>1</v>
      </c>
    </row>
    <row r="34" customFormat="false" ht="13.8" hidden="false" customHeight="false" outlineLevel="0" collapsed="false">
      <c r="A34" s="0" t="s">
        <v>72</v>
      </c>
      <c r="B34" s="0" t="n">
        <v>2</v>
      </c>
      <c r="C34" s="0" t="n">
        <v>1</v>
      </c>
      <c r="D34" s="0" t="n">
        <v>0</v>
      </c>
      <c r="E34" s="0" t="n">
        <v>2</v>
      </c>
      <c r="F34" s="0" t="n">
        <v>1</v>
      </c>
    </row>
    <row r="35" customFormat="false" ht="13.8" hidden="false" customHeight="false" outlineLevel="0" collapsed="false">
      <c r="A35" s="0" t="s">
        <v>73</v>
      </c>
      <c r="B35" s="0" t="n">
        <v>2</v>
      </c>
      <c r="C35" s="0" t="n">
        <v>1</v>
      </c>
      <c r="D35" s="0" t="n">
        <v>0</v>
      </c>
      <c r="E35" s="0" t="n">
        <v>2</v>
      </c>
      <c r="F35" s="0" t="n">
        <v>1</v>
      </c>
    </row>
    <row r="36" customFormat="false" ht="13.8" hidden="false" customHeight="false" outlineLevel="0" collapsed="false">
      <c r="A36" s="0" t="s">
        <v>74</v>
      </c>
      <c r="B36" s="0" t="n">
        <v>1</v>
      </c>
      <c r="C36" s="0" t="n">
        <v>0</v>
      </c>
      <c r="D36" s="0" t="n">
        <v>0</v>
      </c>
      <c r="E36" s="0" t="n">
        <v>1</v>
      </c>
      <c r="F36" s="0" t="n">
        <v>1</v>
      </c>
    </row>
    <row r="37" customFormat="false" ht="13.8" hidden="false" customHeight="false" outlineLevel="0" collapsed="false">
      <c r="A37" s="0" t="s">
        <v>75</v>
      </c>
      <c r="E37" s="0" t="n">
        <f aca="false">SUM(E23:E36)</f>
        <v>40</v>
      </c>
      <c r="F37" s="1" t="n">
        <f aca="false">SUM(F23:F36)</f>
        <v>31</v>
      </c>
    </row>
    <row r="38" customFormat="false" ht="36.55" hidden="false" customHeight="true" outlineLevel="0" collapsed="false">
      <c r="A38" s="9" t="s">
        <v>43</v>
      </c>
      <c r="B38" s="12"/>
      <c r="C38" s="12"/>
      <c r="D38" s="12"/>
      <c r="E38" s="12"/>
      <c r="F38" s="12"/>
    </row>
  </sheetData>
  <mergeCells count="9">
    <mergeCell ref="B5:D5"/>
    <mergeCell ref="B6:D6"/>
    <mergeCell ref="B7:D7"/>
    <mergeCell ref="B8:D8"/>
    <mergeCell ref="B9:D9"/>
    <mergeCell ref="B10:D10"/>
    <mergeCell ref="B12:F12"/>
    <mergeCell ref="B19:F19"/>
    <mergeCell ref="B38:F38"/>
  </mergeCells>
  <dataValidations count="1">
    <dataValidation allowBlank="true" errorStyle="stop" operator="between" showDropDown="false" showErrorMessage="false" showInputMessage="false" sqref="F23:G36" type="list">
      <formula1>"Excellent,Satisfaisant,À améliorer"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E5" activeCellId="0" sqref="E5"/>
    </sheetView>
  </sheetViews>
  <sheetFormatPr defaultColWidth="9.15234375" defaultRowHeight="12.8" zeroHeight="false" outlineLevelRow="0" outlineLevelCol="0"/>
  <sheetData>
    <row r="1" customFormat="false" ht="27.95" hidden="false" customHeight="false" outlineLevel="0" collapsed="false">
      <c r="A1" s="4" t="s">
        <v>79</v>
      </c>
      <c r="B1" s="4" t="s">
        <v>80</v>
      </c>
    </row>
    <row r="2" customFormat="false" ht="108.8" hidden="false" customHeight="false" outlineLevel="0" collapsed="false">
      <c r="A2" s="6" t="s">
        <v>81</v>
      </c>
      <c r="B2" s="6" t="s">
        <v>82</v>
      </c>
    </row>
    <row r="3" customFormat="false" ht="82.05" hidden="false" customHeight="false" outlineLevel="0" collapsed="false">
      <c r="A3" s="6" t="s">
        <v>83</v>
      </c>
      <c r="B3" s="6" t="s">
        <v>84</v>
      </c>
    </row>
    <row r="4" customFormat="false" ht="82.05" hidden="false" customHeight="false" outlineLevel="0" collapsed="false">
      <c r="A4" s="6" t="s">
        <v>85</v>
      </c>
      <c r="B4" s="6" t="s">
        <v>86</v>
      </c>
    </row>
    <row r="5" customFormat="false" ht="68.4" hidden="false" customHeight="false" outlineLevel="0" collapsed="false">
      <c r="A5" s="6" t="s">
        <v>87</v>
      </c>
      <c r="B5" s="6" t="s">
        <v>88</v>
      </c>
    </row>
    <row r="6" customFormat="false" ht="68.4" hidden="false" customHeight="false" outlineLevel="0" collapsed="false">
      <c r="A6" s="6" t="s">
        <v>89</v>
      </c>
      <c r="B6" s="6" t="s">
        <v>90</v>
      </c>
    </row>
    <row r="7" customFormat="false" ht="68.4" hidden="false" customHeight="false" outlineLevel="0" collapsed="false">
      <c r="A7" s="6" t="s">
        <v>91</v>
      </c>
      <c r="B7" s="6" t="s">
        <v>92</v>
      </c>
    </row>
    <row r="8" customFormat="false" ht="54.7" hidden="false" customHeight="false" outlineLevel="0" collapsed="false">
      <c r="A8" s="6" t="s">
        <v>93</v>
      </c>
      <c r="B8" s="6" t="s">
        <v>94</v>
      </c>
    </row>
    <row r="9" customFormat="false" ht="82.05" hidden="false" customHeight="false" outlineLevel="0" collapsed="false">
      <c r="A9" s="6" t="s">
        <v>95</v>
      </c>
      <c r="B9" s="6" t="s">
        <v>96</v>
      </c>
    </row>
    <row r="10" customFormat="false" ht="95.1" hidden="false" customHeight="false" outlineLevel="0" collapsed="false">
      <c r="A10" s="6" t="s">
        <v>97</v>
      </c>
      <c r="B10" s="6" t="s">
        <v>98</v>
      </c>
    </row>
    <row r="11" customFormat="false" ht="82.05" hidden="false" customHeight="false" outlineLevel="0" collapsed="false">
      <c r="A11" s="6" t="s">
        <v>99</v>
      </c>
      <c r="B11" s="6" t="s">
        <v>100</v>
      </c>
    </row>
    <row r="12" customFormat="false" ht="68.4" hidden="false" customHeight="false" outlineLevel="0" collapsed="false">
      <c r="A12" s="6" t="s">
        <v>101</v>
      </c>
      <c r="B12" s="6" t="s">
        <v>102</v>
      </c>
    </row>
    <row r="13" customFormat="false" ht="95.1" hidden="false" customHeight="false" outlineLevel="0" collapsed="false">
      <c r="A13" s="6" t="s">
        <v>103</v>
      </c>
      <c r="B13" s="6" t="s">
        <v>104</v>
      </c>
    </row>
    <row r="14" customFormat="false" ht="68.4" hidden="false" customHeight="false" outlineLevel="0" collapsed="false">
      <c r="A14" s="6" t="s">
        <v>105</v>
      </c>
      <c r="B14" s="6" t="s">
        <v>106</v>
      </c>
    </row>
    <row r="15" customFormat="false" ht="41.65" hidden="false" customHeight="false" outlineLevel="0" collapsed="false">
      <c r="A15" s="6" t="s">
        <v>107</v>
      </c>
      <c r="B15" s="6" t="s">
        <v>108</v>
      </c>
    </row>
    <row r="22" customFormat="false" ht="41.75" hidden="false" customHeight="false" outlineLevel="0" collapsed="false">
      <c r="A22" s="4" t="s">
        <v>109</v>
      </c>
      <c r="B22" s="4" t="s">
        <v>26</v>
      </c>
      <c r="C22" s="4" t="s">
        <v>110</v>
      </c>
      <c r="D22" s="4" t="s">
        <v>111</v>
      </c>
    </row>
    <row r="23" customFormat="false" ht="162.65" hidden="false" customHeight="false" outlineLevel="0" collapsed="false">
      <c r="A23" s="6" t="s">
        <v>81</v>
      </c>
      <c r="B23" s="7"/>
      <c r="C23" s="6" t="n">
        <v>4.3</v>
      </c>
      <c r="D23" s="6" t="s">
        <v>112</v>
      </c>
    </row>
    <row r="24" customFormat="false" ht="189.55" hidden="false" customHeight="false" outlineLevel="0" collapsed="false">
      <c r="A24" s="6" t="s">
        <v>83</v>
      </c>
      <c r="B24" s="6" t="s">
        <v>58</v>
      </c>
      <c r="C24" s="6" t="n">
        <v>4</v>
      </c>
      <c r="D24" s="6" t="s">
        <v>113</v>
      </c>
    </row>
    <row r="25" customFormat="false" ht="14.9" hidden="false" customHeight="false" outlineLevel="0" collapsed="false">
      <c r="A25" s="6" t="s">
        <v>85</v>
      </c>
      <c r="B25" s="7"/>
      <c r="C25" s="6" t="n">
        <v>3.7</v>
      </c>
      <c r="D25" s="7"/>
    </row>
    <row r="26" customFormat="false" ht="14.9" hidden="false" customHeight="false" outlineLevel="0" collapsed="false">
      <c r="A26" s="6" t="s">
        <v>87</v>
      </c>
      <c r="B26" s="7"/>
      <c r="C26" s="6" t="n">
        <v>3.3</v>
      </c>
      <c r="D26" s="7"/>
    </row>
    <row r="27" customFormat="false" ht="229.85" hidden="false" customHeight="false" outlineLevel="0" collapsed="false">
      <c r="A27" s="6" t="s">
        <v>89</v>
      </c>
      <c r="B27" s="6" t="s">
        <v>114</v>
      </c>
      <c r="C27" s="6" t="n">
        <v>3</v>
      </c>
      <c r="D27" s="6" t="s">
        <v>115</v>
      </c>
    </row>
    <row r="28" customFormat="false" ht="14.9" hidden="false" customHeight="false" outlineLevel="0" collapsed="false">
      <c r="A28" s="6" t="s">
        <v>91</v>
      </c>
      <c r="B28" s="7"/>
      <c r="C28" s="6" t="n">
        <v>2.7</v>
      </c>
      <c r="D28" s="7"/>
    </row>
    <row r="29" customFormat="false" ht="14.9" hidden="false" customHeight="false" outlineLevel="0" collapsed="false">
      <c r="A29" s="6" t="s">
        <v>93</v>
      </c>
      <c r="B29" s="7"/>
      <c r="C29" s="6" t="n">
        <v>2.3</v>
      </c>
      <c r="D29" s="7"/>
    </row>
    <row r="30" customFormat="false" ht="256.7" hidden="false" customHeight="false" outlineLevel="0" collapsed="false">
      <c r="A30" s="6" t="s">
        <v>95</v>
      </c>
      <c r="B30" s="6" t="s">
        <v>116</v>
      </c>
      <c r="C30" s="6" t="n">
        <v>2</v>
      </c>
      <c r="D30" s="6" t="s">
        <v>117</v>
      </c>
    </row>
    <row r="31" customFormat="false" ht="14.9" hidden="false" customHeight="false" outlineLevel="0" collapsed="false">
      <c r="A31" s="6" t="s">
        <v>97</v>
      </c>
      <c r="B31" s="7"/>
      <c r="C31" s="6" t="n">
        <v>1.7</v>
      </c>
      <c r="D31" s="7"/>
    </row>
    <row r="32" customFormat="false" ht="14.9" hidden="false" customHeight="false" outlineLevel="0" collapsed="false">
      <c r="A32" s="6" t="s">
        <v>99</v>
      </c>
      <c r="B32" s="7"/>
      <c r="C32" s="6" t="n">
        <v>1.3</v>
      </c>
      <c r="D32" s="7"/>
    </row>
    <row r="33" customFormat="false" ht="229.85" hidden="false" customHeight="false" outlineLevel="0" collapsed="false">
      <c r="A33" s="6" t="s">
        <v>101</v>
      </c>
      <c r="B33" s="6" t="s">
        <v>118</v>
      </c>
      <c r="C33" s="6" t="n">
        <v>1</v>
      </c>
      <c r="D33" s="6" t="s">
        <v>119</v>
      </c>
    </row>
    <row r="34" customFormat="false" ht="149.25" hidden="false" customHeight="false" outlineLevel="0" collapsed="false">
      <c r="A34" s="6" t="s">
        <v>103</v>
      </c>
      <c r="B34" s="6" t="s">
        <v>120</v>
      </c>
      <c r="C34" s="6" t="n">
        <v>0.5</v>
      </c>
      <c r="D34" s="6" t="s">
        <v>121</v>
      </c>
    </row>
    <row r="35" customFormat="false" ht="310.4" hidden="false" customHeight="false" outlineLevel="0" collapsed="false">
      <c r="A35" s="6" t="s">
        <v>105</v>
      </c>
      <c r="B35" s="7"/>
      <c r="C35" s="6" t="n">
        <v>0</v>
      </c>
      <c r="D35" s="6" t="s">
        <v>122</v>
      </c>
    </row>
    <row r="36" customFormat="false" ht="68.65" hidden="false" customHeight="false" outlineLevel="0" collapsed="false">
      <c r="A36" s="6" t="s">
        <v>107</v>
      </c>
      <c r="B36" s="7"/>
      <c r="C36" s="6" t="n">
        <v>0</v>
      </c>
      <c r="D36" s="6" t="s">
        <v>123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2026-01-05T23:23:47Z</dcterms:created>
  <dc:creator>openpyxl</dc:creator>
  <dc:description/>
  <dc:language>fr-CA</dc:language>
  <cp:lastModifiedBy/>
  <dcterms:modified xsi:type="dcterms:W3CDTF">2026-01-05T20:22:58Z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