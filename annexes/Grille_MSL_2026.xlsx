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1"/>
  <workbookPr defaultThemeVersion="166925"/>
  <xr:revisionPtr revIDLastSave="0" documentId="8_{F2F6AE10-AB0A-4C8B-A60A-DF5783D03388}" xr6:coauthVersionLast="47" xr6:coauthVersionMax="47" xr10:uidLastSave="{00000000-0000-0000-0000-000000000000}"/>
  <bookViews>
    <workbookView xWindow="0" yWindow="0" windowWidth="16384" windowHeight="8192" tabRatio="500" xr2:uid="{00000000-000D-0000-FFFF-FFFF00000000}"/>
  </bookViews>
  <sheets>
    <sheet name="Présence" sheetId="1" r:id="rId1"/>
    <sheet name="Synthèse Notes" sheetId="2" r:id="rId2"/>
    <sheet name="Etudiant.e" sheetId="3" r:id="rId3"/>
    <sheet name="Notes" sheetId="13" r:id="rId4"/>
    <sheet name="Grille" sheetId="14" r:id="rId5"/>
  </sheets>
  <calcPr calcId="191028" iterateDelta="1E-4"/>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N16" i="1" l="1"/>
  <c r="H4" i="2"/>
  <c r="H3" i="2"/>
  <c r="G4" i="2"/>
  <c r="G3" i="2"/>
  <c r="F4" i="2"/>
  <c r="E4" i="2"/>
  <c r="C17" i="3"/>
  <c r="C18" i="3"/>
  <c r="C16" i="3"/>
  <c r="E36" i="3"/>
  <c r="F36" i="3"/>
  <c r="B18" i="3"/>
  <c r="E11" i="3"/>
  <c r="E3" i="2"/>
  <c r="Q32" i="1"/>
  <c r="Q31" i="1"/>
  <c r="Q30" i="1"/>
  <c r="Q29" i="1"/>
  <c r="Q28" i="1"/>
  <c r="Q27" i="1"/>
  <c r="Q26" i="1"/>
  <c r="Q25" i="1"/>
  <c r="Q24" i="1"/>
  <c r="Q23" i="1"/>
  <c r="N15" i="1"/>
  <c r="N14" i="1"/>
  <c r="N13" i="1"/>
  <c r="N12" i="1"/>
  <c r="N11" i="1"/>
  <c r="N10" i="1"/>
  <c r="N9" i="1"/>
  <c r="N8" i="1"/>
  <c r="N7" i="1"/>
  <c r="N6" i="1"/>
  <c r="F11" i="3" s="1"/>
  <c r="F3" i="2" l="1"/>
</calcChain>
</file>

<file path=xl/sharedStrings.xml><?xml version="1.0" encoding="utf-8"?>
<sst xmlns="http://schemas.openxmlformats.org/spreadsheetml/2006/main" count="199" uniqueCount="141">
  <si>
    <t>Calendrier de suivi</t>
  </si>
  <si>
    <t xml:space="preserve">Je note votre présence et vos participations mais ce tableau n'est qu'un aide mémoire pour moi, pas vos notes. </t>
  </si>
  <si>
    <t>Présence</t>
  </si>
  <si>
    <t>12 étudiants</t>
  </si>
  <si>
    <t>12 séances</t>
  </si>
  <si>
    <t>exemple</t>
  </si>
  <si>
    <t>Présence ou cours rattrapé = 1, Absence prévenue et justifiée mais non rattrapé= 0,5, Absence non prévenue ou justifiée ou non rattrapé =0</t>
  </si>
  <si>
    <t>Suivi Participation (oral, Mails, Forum, Lectures)</t>
  </si>
  <si>
    <t>Mails</t>
  </si>
  <si>
    <t>Forum</t>
  </si>
  <si>
    <t>Lectures</t>
  </si>
  <si>
    <t>nom</t>
  </si>
  <si>
    <t>Participation</t>
  </si>
  <si>
    <t>TP</t>
  </si>
  <si>
    <t>Article</t>
  </si>
  <si>
    <t>Note / 100</t>
  </si>
  <si>
    <t>Note /4.3</t>
  </si>
  <si>
    <t>Note lettre</t>
  </si>
  <si>
    <t>Signification</t>
  </si>
  <si>
    <t>Commentaire général</t>
  </si>
  <si>
    <t>exemple ref</t>
  </si>
  <si>
    <t xml:space="preserve">Nom Étudiant : </t>
  </si>
  <si>
    <t>Critères</t>
  </si>
  <si>
    <t>Indicateurs observables</t>
  </si>
  <si>
    <t>Points max</t>
  </si>
  <si>
    <t>Points obtenus</t>
  </si>
  <si>
    <t>Assiduité, ponctualité, participation aux activités</t>
  </si>
  <si>
    <t>Engagement</t>
  </si>
  <si>
    <t>Préparation des séances, lectures mobilisées, continuité du travail</t>
  </si>
  <si>
    <t>Présentation en TD</t>
  </si>
  <si>
    <t>Qualité du contenu, structuration, clarté (forme libre)</t>
  </si>
  <si>
    <t>Contributions</t>
  </si>
  <si>
    <t>Interventions orales ou écrites (forum, documents partagés)</t>
  </si>
  <si>
    <t>Interaction avec le groupe</t>
  </si>
  <si>
    <t>Écoute, feedback, collaboration, soutien aux pairs</t>
  </si>
  <si>
    <t>TOTAL</t>
  </si>
  <si>
    <t>Commentaire</t>
  </si>
  <si>
    <t>Points obtenus  2/TP</t>
  </si>
  <si>
    <t>TP 1</t>
  </si>
  <si>
    <t>TP 2</t>
  </si>
  <si>
    <t>TP 3</t>
  </si>
  <si>
    <t>TP 4</t>
  </si>
  <si>
    <t>TP 5</t>
  </si>
  <si>
    <t>TP 6</t>
  </si>
  <si>
    <t>TP 7</t>
  </si>
  <si>
    <t>TP 8</t>
  </si>
  <si>
    <t>TP 9</t>
  </si>
  <si>
    <t>TP 10</t>
  </si>
  <si>
    <t>Qualité</t>
  </si>
  <si>
    <t>Respect des consignes</t>
  </si>
  <si>
    <t>Critère</t>
  </si>
  <si>
    <t>Excellent</t>
  </si>
  <si>
    <t>Satisfaisant</t>
  </si>
  <si>
    <t>À améliorer</t>
  </si>
  <si>
    <t>Pertinence du sujet</t>
  </si>
  <si>
    <t>Problématisation</t>
  </si>
  <si>
    <t>Inscription enjeux contemporain</t>
  </si>
  <si>
    <t>Description détaillée</t>
  </si>
  <si>
    <t>Argumentation</t>
  </si>
  <si>
    <t>Capacité critique</t>
  </si>
  <si>
    <t>Mise en perspective</t>
  </si>
  <si>
    <t>Clarté, structure, cohérence</t>
  </si>
  <si>
    <t>Format article</t>
  </si>
  <si>
    <t>Qualité du style personnel</t>
  </si>
  <si>
    <t>Illustration et légendes</t>
  </si>
  <si>
    <t>Hyperlien</t>
  </si>
  <si>
    <t>Références</t>
  </si>
  <si>
    <t>Lettre</t>
  </si>
  <si>
    <t>Appréciation</t>
  </si>
  <si>
    <t>valeur numerique</t>
  </si>
  <si>
    <t>A+</t>
  </si>
  <si>
    <t>Travail exceptionnel qui dépasse les exigences demandées</t>
  </si>
  <si>
    <t>90-100</t>
  </si>
  <si>
    <t>A</t>
  </si>
  <si>
    <t>Travail excellent répondant exactement aux exigences</t>
  </si>
  <si>
    <t>85-89</t>
  </si>
  <si>
    <t>A−</t>
  </si>
  <si>
    <t>Travail très bon, quelques points perfectibles</t>
  </si>
  <si>
    <t>80-84</t>
  </si>
  <si>
    <t>B+</t>
  </si>
  <si>
    <t>Travail bon, répond bien aux exigences</t>
  </si>
  <si>
    <t>77-79</t>
  </si>
  <si>
    <t>B</t>
  </si>
  <si>
    <t>Travail bon avec corrections mineures</t>
  </si>
  <si>
    <t>73-76</t>
  </si>
  <si>
    <t>B−</t>
  </si>
  <si>
    <t>Travail correct, quelques points à améliorer</t>
  </si>
  <si>
    <t>70-72</t>
  </si>
  <si>
    <t>C+</t>
  </si>
  <si>
    <t>Travail passable, erreurs modérées</t>
  </si>
  <si>
    <t>65-69</t>
  </si>
  <si>
    <t>C</t>
  </si>
  <si>
    <t>Travail passable, répond assez bien aux exigences</t>
  </si>
  <si>
    <t>60-64</t>
  </si>
  <si>
    <t>C−</t>
  </si>
  <si>
    <t>Travail passable mais insuffisant sur certains points</t>
  </si>
  <si>
    <t>57-59</t>
  </si>
  <si>
    <t>D+</t>
  </si>
  <si>
    <t>Travail faible, répond partiellement aux exigences</t>
  </si>
  <si>
    <t>54-56</t>
  </si>
  <si>
    <t>D</t>
  </si>
  <si>
    <t>Travail faible, erreurs importantes</t>
  </si>
  <si>
    <t>50-53</t>
  </si>
  <si>
    <t>E</t>
  </si>
  <si>
    <t>Travail non satisfaisant, exigences non remplies</t>
  </si>
  <si>
    <t>35-49</t>
  </si>
  <si>
    <t>F</t>
  </si>
  <si>
    <t>Travail non remis ou non acceptable</t>
  </si>
  <si>
    <t>0-34</t>
  </si>
  <si>
    <t>F*</t>
  </si>
  <si>
    <t>Échec par absence ou plagiat</t>
  </si>
  <si>
    <t>Note</t>
  </si>
  <si>
    <t>Points</t>
  </si>
  <si>
    <t>Critères d’évaluation</t>
  </si>
  <si>
    <t>La note A+ est réservée aux travaux exceptionnels qui dépassent les exigences demandées.</t>
  </si>
  <si>
    <t>La note A est accordée aux travaux excellents qui répondent exactement aux exigences demandées.</t>
  </si>
  <si>
    <t>Bon</t>
  </si>
  <si>
    <t>La note B est accordée aux travaux qui répondent exactement aux exigences demandées, avec certaines corrections mineures.</t>
  </si>
  <si>
    <t>Passable</t>
  </si>
  <si>
    <t>La note C est accordée aux travaux qui répondent, dans l’ensemble, assez bien aux exigences demandées, avec quelques erreurs sans gravité majeure.</t>
  </si>
  <si>
    <t>Faible</t>
  </si>
  <si>
    <t>La note D est accordée aux travaux qui ne rencontrent qu’à moitié les exigences demandées ou qui comportent quelques erreurs graves.</t>
  </si>
  <si>
    <t>Échec</t>
  </si>
  <si>
    <t>La note E est attribuée aux travaux qui ne répondent pas aux exigences demandées.</t>
  </si>
  <si>
    <t>La note F est attribuée lorsqu’un travail ou un examen n’est pas remis ou lorsqu’un travail est remis après la date d’échéance fixée par le professeur, ou dans un cas de plagiat, copiage ou fraude.</t>
  </si>
  <si>
    <t>La note F* correspond à un échec par absence</t>
  </si>
  <si>
    <t>Pourcentage</t>
  </si>
  <si>
    <t>Valeur numérique</t>
  </si>
  <si>
    <t>Cheminement 1er cycle</t>
  </si>
  <si>
    <t>Cheminement cycles supérieurs</t>
  </si>
  <si>
    <t>excellent</t>
  </si>
  <si>
    <t>|</t>
  </si>
  <si>
    <t>A-</t>
  </si>
  <si>
    <t>très bon</t>
  </si>
  <si>
    <t>B-</t>
  </si>
  <si>
    <t>bon</t>
  </si>
  <si>
    <t>C-</t>
  </si>
  <si>
    <t>passable</t>
  </si>
  <si>
    <t>faible (échec)</t>
  </si>
  <si>
    <t>nul (échec)</t>
  </si>
  <si>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</sst>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color rgb="FF000000"/>
      <name val="Calibri"/>
      <family val="2"/>
      <charset val="1"/>
    </font>
    <font>
      <b/>
      <sz val="11"/>
      <color rgb="FF000000"/>
      <name val="Calibri"/>
      <family val="2"/>
      <charset val="1"/>
    </font>
    <font>
      <b/>
      <sz val="11"/>
      <color rgb="FF000000"/>
      <name val="Calibri"/>
    </font>
  </fonts>
  <fills count="5">
    <fill>
      <patternFill patternType="none"/>
    </fill>
    <fill>
      <patternFill patternType="gray125"/>
    </fill>
    <fill>
      <patternFill patternType="solid">
        <fgColor theme="0" tint="-4.9989318521683403E-2"/>
        <bgColor indexed="64"/>
      </patternFill>
    </fill>
    <fill>
      <patternFill patternType="solid">
        <fgColor theme="0" tint="-0.14999847407452621"/>
        <bgColor indexed="64"/>
      </patternFill>
    </fill>
    <fill>
      <patternFill patternType="solid">
        <fgColor theme="0" tint="-0.249977111117893"/>
        <bgColor indexed="64"/>
      </patternFill>
    </fill>
  </fills>
  <borders count="2">
    <border>
      <left/>
      <right/>
      <top/>
      <bottom/>
      <diagonal/>
    </border>
    <border>
      <left style="thin">
        <color theme="0" tint="-4.9989318521683403E-2"/>
      </left>
      <right style="thin">
        <color theme="0" tint="-4.9989318521683403E-2"/>
      </right>
      <top style="thin">
        <color theme="0" tint="-4.9989318521683403E-2"/>
      </top>
      <bottom style="thin">
        <color theme="0" tint="-4.9989318521683403E-2"/>
      </bottom>
      <diagonal/>
    </border>
  </borders>
  <cellStyleXfs count="1">
    <xf numFmtId="0" fontId="0" fillId="0" borderId="0"/>
  </cellStyleXfs>
  <cellXfs count="36">
    <xf numFmtId="0" fontId="0" fillId="0" borderId="0" xfId="0"/>
    <xf numFmtId="0" fontId="1" fillId="0" borderId="0" xfId="0" applyFont="1"/>
    <xf numFmtId="0" fontId="0" fillId="0" borderId="0" xfId="0" applyAlignment="1"/>
    <xf numFmtId="0" fontId="0" fillId="0" borderId="0" xfId="0" applyAlignment="1"/>
    <xf numFmtId="0" fontId="0" fillId="0" borderId="0" xfId="0" applyFont="1" applyAlignment="1">
      <alignment wrapText="1"/>
    </xf>
    <xf numFmtId="0" fontId="0" fillId="0" borderId="0" xfId="0" applyFont="1"/>
    <xf numFmtId="0" fontId="0" fillId="0" borderId="0" xfId="0" applyFont="1" applyAlignment="1"/>
    <xf numFmtId="0" fontId="1" fillId="0" borderId="0" xfId="0" applyFont="1" applyAlignment="1">
      <alignment wrapText="1"/>
    </xf>
    <xf numFmtId="0" fontId="1" fillId="0" borderId="0" xfId="0" applyFont="1" applyAlignment="1">
      <alignment horizontal="center" wrapText="1"/>
    </xf>
    <xf numFmtId="16" fontId="0" fillId="0" borderId="0" xfId="0" applyNumberFormat="1"/>
    <xf numFmtId="0" fontId="1" fillId="3" borderId="0" xfId="0" applyFont="1" applyFill="1"/>
    <xf numFmtId="0" fontId="0" fillId="3" borderId="0" xfId="0" applyFill="1"/>
    <xf numFmtId="0" fontId="1" fillId="3" borderId="0" xfId="0" applyFont="1" applyFill="1" applyAlignment="1">
      <alignment wrapText="1"/>
    </xf>
    <xf numFmtId="0" fontId="0" fillId="4" borderId="0" xfId="0" applyFill="1"/>
    <xf numFmtId="0" fontId="1" fillId="3" borderId="1" xfId="0" applyFont="1" applyFill="1" applyBorder="1" applyAlignment="1">
      <alignment wrapText="1"/>
    </xf>
    <xf numFmtId="0" fontId="0" fillId="3" borderId="1" xfId="0" applyFill="1" applyBorder="1"/>
    <xf numFmtId="0" fontId="0" fillId="0" borderId="1" xfId="0" applyFont="1" applyBorder="1" applyAlignment="1">
      <alignment horizontal="center" wrapText="1"/>
    </xf>
    <xf numFmtId="0" fontId="0" fillId="0" borderId="1" xfId="0" applyBorder="1"/>
    <xf numFmtId="0" fontId="1" fillId="0" borderId="1" xfId="0" applyFont="1" applyBorder="1" applyAlignment="1">
      <alignment wrapText="1"/>
    </xf>
    <xf numFmtId="0" fontId="0" fillId="0" borderId="1" xfId="0" applyFont="1" applyBorder="1" applyAlignment="1">
      <alignment wrapText="1"/>
    </xf>
    <xf numFmtId="0" fontId="1" fillId="0" borderId="1" xfId="0" applyFont="1" applyBorder="1"/>
    <xf numFmtId="0" fontId="0" fillId="0" borderId="1" xfId="0" applyFont="1" applyBorder="1"/>
    <xf numFmtId="0" fontId="0" fillId="0" borderId="1" xfId="0" applyFont="1" applyBorder="1" applyAlignment="1">
      <alignment horizontal="center"/>
    </xf>
    <xf numFmtId="0" fontId="0" fillId="0" borderId="1" xfId="0" applyFill="1" applyBorder="1" applyAlignment="1">
      <alignment wrapText="1"/>
    </xf>
    <xf numFmtId="0" fontId="0" fillId="0" borderId="1" xfId="0" applyFill="1" applyBorder="1"/>
    <xf numFmtId="0" fontId="0" fillId="0" borderId="1" xfId="0" applyFont="1" applyFill="1" applyBorder="1" applyAlignment="1">
      <alignment wrapText="1"/>
    </xf>
    <xf numFmtId="0" fontId="0" fillId="0" borderId="1" xfId="0" applyFont="1" applyFill="1" applyBorder="1"/>
    <xf numFmtId="0" fontId="0" fillId="2" borderId="1" xfId="0" applyFont="1" applyFill="1" applyBorder="1"/>
    <xf numFmtId="0" fontId="0" fillId="2" borderId="1" xfId="0" applyFill="1" applyBorder="1"/>
    <xf numFmtId="0" fontId="1" fillId="0" borderId="1" xfId="0" applyFont="1" applyFill="1" applyBorder="1"/>
    <xf numFmtId="2" fontId="0" fillId="0" borderId="0" xfId="0" applyNumberFormat="1"/>
    <xf numFmtId="0" fontId="2" fillId="0" borderId="0" xfId="0" applyFont="1"/>
    <xf numFmtId="0" fontId="0" fillId="0" borderId="1" xfId="0" applyFont="1" applyBorder="1" applyAlignment="1">
      <alignment horizontal="center" vertical="center" wrapText="1"/>
    </xf>
    <xf numFmtId="0" fontId="0" fillId="0" borderId="1" xfId="0" applyBorder="1" applyAlignment="1">
      <alignment horizontal="center" vertical="center"/>
    </xf>
    <xf numFmtId="0" fontId="0" fillId="0" borderId="0" xfId="0" applyBorder="1" applyAlignment="1">
      <alignment horizontal="center" vertical="center"/>
    </xf>
    <xf numFmtId="0" fontId="0" fillId="0" borderId="1" xfId="0" applyBorder="1" applyAlignment="1">
      <alignment horizontal="center" vertical="center" wrapText="1"/>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DDDDDD"/>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1048576"/>
  <sheetViews>
    <sheetView tabSelected="1" zoomScaleNormal="100" workbookViewId="0">
      <selection activeCell="A23" sqref="A23"/>
    </sheetView>
  </sheetViews>
  <sheetFormatPr defaultColWidth="9.140625" defaultRowHeight="13.9"/>
  <cols>
    <col min="1" max="1" width="23" customWidth="1"/>
    <col min="2" max="2" width="11.42578125" customWidth="1"/>
    <col min="16" max="17" width="10.140625" customWidth="1"/>
  </cols>
  <sheetData>
    <row r="1" spans="1:14" ht="15">
      <c r="A1" s="31" t="s">
        <v>0</v>
      </c>
    </row>
    <row r="2" spans="1:14" ht="15">
      <c r="A2" s="31" t="s">
        <v>1</v>
      </c>
    </row>
    <row r="3" spans="1:14" ht="15">
      <c r="A3" s="1"/>
    </row>
    <row r="4" spans="1:14">
      <c r="A4" s="1" t="s">
        <v>2</v>
      </c>
      <c r="B4" t="s">
        <v>3</v>
      </c>
    </row>
    <row r="5" spans="1:14">
      <c r="A5" t="s">
        <v>4</v>
      </c>
      <c r="B5" s="9">
        <v>46279</v>
      </c>
      <c r="C5" s="9">
        <v>46286</v>
      </c>
      <c r="D5" s="9">
        <v>46293</v>
      </c>
      <c r="E5" s="9">
        <v>46300</v>
      </c>
      <c r="F5" s="9">
        <v>46307</v>
      </c>
      <c r="G5" s="9">
        <v>46321</v>
      </c>
      <c r="H5" s="9">
        <v>46328</v>
      </c>
      <c r="I5" s="9">
        <v>46335</v>
      </c>
      <c r="J5" s="9">
        <v>46342</v>
      </c>
      <c r="K5" s="9">
        <v>46349</v>
      </c>
      <c r="L5" s="9">
        <v>46356</v>
      </c>
      <c r="M5" s="9">
        <v>46363</v>
      </c>
    </row>
    <row r="6" spans="1:14">
      <c r="A6" t="s">
        <v>5</v>
      </c>
      <c r="B6">
        <v>1</v>
      </c>
      <c r="C6">
        <v>1</v>
      </c>
      <c r="D6">
        <v>1</v>
      </c>
      <c r="E6">
        <v>1</v>
      </c>
      <c r="F6">
        <v>1</v>
      </c>
      <c r="G6">
        <v>1</v>
      </c>
      <c r="H6">
        <v>1</v>
      </c>
      <c r="I6">
        <v>1</v>
      </c>
      <c r="J6">
        <v>1</v>
      </c>
      <c r="K6">
        <v>0.5</v>
      </c>
      <c r="L6">
        <v>0.5</v>
      </c>
      <c r="M6">
        <v>0.5</v>
      </c>
      <c r="N6">
        <f>SUM(B6:M6)</f>
        <v>10.5</v>
      </c>
    </row>
    <row r="7" spans="1:14">
      <c r="N7">
        <f>SUM(B7:M7)</f>
        <v>0</v>
      </c>
    </row>
    <row r="8" spans="1:14">
      <c r="N8">
        <f>SUM(B8:M8)</f>
        <v>0</v>
      </c>
    </row>
    <row r="9" spans="1:14">
      <c r="N9">
        <f>SUM(B9:M9)</f>
        <v>0</v>
      </c>
    </row>
    <row r="10" spans="1:14">
      <c r="N10">
        <f>SUM(B10:M10)</f>
        <v>0</v>
      </c>
    </row>
    <row r="11" spans="1:14">
      <c r="N11">
        <f>SUM(B11:M11)</f>
        <v>0</v>
      </c>
    </row>
    <row r="12" spans="1:14">
      <c r="N12">
        <f>SUM(B12:M12)</f>
        <v>0</v>
      </c>
    </row>
    <row r="13" spans="1:14">
      <c r="N13">
        <f>SUM(B13:M13)</f>
        <v>0</v>
      </c>
    </row>
    <row r="14" spans="1:14">
      <c r="N14">
        <f>SUM(B14:M14)</f>
        <v>0</v>
      </c>
    </row>
    <row r="15" spans="1:14">
      <c r="N15">
        <f>SUM(B15:M15)</f>
        <v>0</v>
      </c>
    </row>
    <row r="16" spans="1:14">
      <c r="N16">
        <f>SUM(B16:M16)</f>
        <v>0</v>
      </c>
    </row>
    <row r="17" spans="1:17">
      <c r="A17" t="s">
        <v>6</v>
      </c>
    </row>
    <row r="21" spans="1:17">
      <c r="A21" s="1" t="s">
        <v>7</v>
      </c>
    </row>
    <row r="22" spans="1:17">
      <c r="B22" s="9">
        <v>46279</v>
      </c>
      <c r="C22" s="9">
        <v>46286</v>
      </c>
      <c r="D22" s="9">
        <v>46293</v>
      </c>
      <c r="E22" s="9">
        <v>46300</v>
      </c>
      <c r="F22" s="9">
        <v>46307</v>
      </c>
      <c r="G22" s="9">
        <v>46321</v>
      </c>
      <c r="H22" s="9">
        <v>46328</v>
      </c>
      <c r="I22" s="9">
        <v>46335</v>
      </c>
      <c r="J22" s="9">
        <v>46342</v>
      </c>
      <c r="K22" s="9">
        <v>46349</v>
      </c>
      <c r="L22" s="9">
        <v>46356</v>
      </c>
      <c r="M22" s="9">
        <v>46361</v>
      </c>
      <c r="N22" t="s">
        <v>8</v>
      </c>
      <c r="O22" t="s">
        <v>9</v>
      </c>
      <c r="P22" t="s">
        <v>10</v>
      </c>
    </row>
    <row r="23" spans="1:17">
      <c r="Q23">
        <f>SUM(B23:P23)</f>
        <v>0</v>
      </c>
    </row>
    <row r="24" spans="1:17">
      <c r="Q24">
        <f>SUM(B24:P24)</f>
        <v>0</v>
      </c>
    </row>
    <row r="25" spans="1:17">
      <c r="Q25">
        <f>SUM(B25:P25)</f>
        <v>0</v>
      </c>
    </row>
    <row r="26" spans="1:17">
      <c r="Q26">
        <f>SUM(B26:P26)</f>
        <v>0</v>
      </c>
    </row>
    <row r="27" spans="1:17">
      <c r="Q27">
        <f>SUM(B27:P27)</f>
        <v>0</v>
      </c>
    </row>
    <row r="28" spans="1:17">
      <c r="Q28">
        <f>SUM(B28:P28)</f>
        <v>0</v>
      </c>
    </row>
    <row r="29" spans="1:17">
      <c r="Q29">
        <f>SUM(B29:P29)</f>
        <v>0</v>
      </c>
    </row>
    <row r="30" spans="1:17">
      <c r="Q30">
        <f>SUM(B30:P30)</f>
        <v>0</v>
      </c>
    </row>
    <row r="31" spans="1:17">
      <c r="Q31">
        <f>SUM(B31:P31)</f>
        <v>0</v>
      </c>
    </row>
    <row r="32" spans="1:17">
      <c r="Q32">
        <f>SUM(B32:P32)</f>
        <v>0</v>
      </c>
    </row>
    <row r="1048576" ht="15"/>
  </sheetData>
  <pageMargins left="0.78749999999999998" right="0.78749999999999998" top="1.05277777777778" bottom="1.05277777777778" header="0.78749999999999998" footer="0.78749999999999998"/>
  <pageSetup orientation="portrait" horizontalDpi="300" verticalDpi="300"/>
  <headerFooter>
    <oddHeader>&amp;C&amp;"Times New Roman,Normal"&amp;12&amp;Kffffff&amp;A</oddHeader>
    <oddFooter>&amp;C&amp;"Times New Roman,Normal"&amp;12&amp;KffffffPage &amp;P</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I23"/>
  <sheetViews>
    <sheetView zoomScaleNormal="100" workbookViewId="0">
      <selection activeCell="G5" sqref="G5"/>
    </sheetView>
  </sheetViews>
  <sheetFormatPr defaultColWidth="9.140625" defaultRowHeight="13.9"/>
  <cols>
    <col min="1" max="1" width="13" customWidth="1"/>
    <col min="2" max="2" width="12.7109375" customWidth="1"/>
    <col min="4" max="4" width="9.140625" style="2"/>
    <col min="5" max="5" width="10" style="30" customWidth="1"/>
    <col min="7" max="7" width="10.5703125" customWidth="1"/>
    <col min="8" max="8" width="12.7109375" customWidth="1"/>
    <col min="9" max="9" width="50.42578125" customWidth="1"/>
  </cols>
  <sheetData>
    <row r="2" spans="1:9" ht="14.25">
      <c r="A2" t="s">
        <v>11</v>
      </c>
      <c r="B2" t="s">
        <v>12</v>
      </c>
      <c r="C2" t="s">
        <v>13</v>
      </c>
      <c r="D2" s="3" t="s">
        <v>14</v>
      </c>
      <c r="E2" s="30" t="s">
        <v>15</v>
      </c>
      <c r="F2" t="s">
        <v>16</v>
      </c>
      <c r="G2" t="s">
        <v>17</v>
      </c>
      <c r="H2" t="s">
        <v>18</v>
      </c>
      <c r="I2" t="s">
        <v>19</v>
      </c>
    </row>
    <row r="3" spans="1:9" ht="74.099999999999994" customHeight="1">
      <c r="A3" s="1" t="s">
        <v>20</v>
      </c>
      <c r="B3">
        <v>20</v>
      </c>
      <c r="C3">
        <v>10</v>
      </c>
      <c r="D3" s="3">
        <v>40</v>
      </c>
      <c r="E3" s="30">
        <f>SUM(B3:D3)</f>
        <v>70</v>
      </c>
      <c r="F3" s="1">
        <f>IF(E3&gt;=90, 4.3, IF(E3&gt;=85, 4, IF(E3&gt;=80, 3.7, IF(E3&gt;=77, 3.3, IF(E3&gt;=73, 3, IF(E3&gt;=70, 2.7, IF(E3&gt;=65, 2.3, IF(E3&gt;=60, 2, IF(E3&gt;=57, 1.7, IF(E3&gt;=54, 1.3, IF(E3&gt;=50, 1, IF(E3&gt;=35, 0.5, 0))))))))))))</f>
        <v>2.7</v>
      </c>
      <c r="G3" s="1" t="str">
        <f>IF(E3&gt;=90, "A+", IF(E3&gt;=85, "A", IF(E3&gt;=80, "A-", IF(E3&gt;=77, "B+", IF(E3&gt;=73, "B", IF(E3&gt;=70, "B-", IF(E3&gt;=65, "C+", IF(E3&gt;=60, "C", IF(E3&gt;=57, "C-", IF(E3&gt;=54, "D+", IF(E3&gt;=50, "D", IF(E3&gt;=35, "E", "F"))))))))))))</f>
        <v>B-</v>
      </c>
      <c r="H3" s="3" t="str">
        <f>IF(E3&gt;=77, "excellent", IF(E3&gt;=70, "très bon", IF(E3&gt;=57, "bon", IF(E3&gt;=50, "passable", "échec"))))</f>
        <v>très bon</v>
      </c>
      <c r="I3" s="4"/>
    </row>
    <row r="4" spans="1:9" ht="74.099999999999994" customHeight="1">
      <c r="A4" s="1" t="s">
        <v>20</v>
      </c>
      <c r="B4">
        <v>20</v>
      </c>
      <c r="C4">
        <v>40</v>
      </c>
      <c r="D4" s="3">
        <v>40</v>
      </c>
      <c r="E4" s="30">
        <f>SUM(B4:D4)</f>
        <v>100</v>
      </c>
      <c r="F4" s="1">
        <f>IF(E4&gt;=90, 4.3, IF(E4&gt;=85, 4, IF(E4&gt;=80, 3.7, IF(E4&gt;=77, 3.3, IF(E4&gt;=73, 3, IF(E4&gt;=70, 2.7, IF(E4&gt;=65, 2.3, IF(E4&gt;=60, 2, IF(E4&gt;=57, 1.7, IF(E4&gt;=54, 1.3, IF(E4&gt;=50, 1, IF(E4&gt;=35, 0.5, 0))))))))))))</f>
        <v>4.3</v>
      </c>
      <c r="G4" s="1" t="str">
        <f>IF(E4&gt;=90, "A+", IF(E4&gt;=85, "A", IF(E4&gt;=80, "A-", IF(E4&gt;=77, "B+", IF(E4&gt;=73, "B", IF(E4&gt;=70, "B-", IF(E4&gt;=65, "C+", IF(E4&gt;=60, "C", IF(E4&gt;=57, "C-", IF(E4&gt;=54, "D+", IF(E4&gt;=50, "D", IF(E4&gt;=35, "E", "F"))))))))))))</f>
        <v>A+</v>
      </c>
      <c r="H4" s="3" t="str">
        <f>IF(E4&gt;=77, "excellent", IF(E4&gt;=70, "très bon", IF(E4&gt;=57, "bon", IF(E4&gt;=50, "passable", "échec"))))</f>
        <v>excellent</v>
      </c>
      <c r="I4" s="4"/>
    </row>
    <row r="5" spans="1:9" ht="74.099999999999994" customHeight="1">
      <c r="A5" s="1"/>
      <c r="D5" s="3"/>
      <c r="F5" s="1"/>
      <c r="G5" s="1"/>
      <c r="H5" s="3"/>
      <c r="I5" s="4"/>
    </row>
    <row r="6" spans="1:9" ht="74.099999999999994" customHeight="1">
      <c r="A6" s="1"/>
      <c r="D6" s="6"/>
      <c r="F6" s="1"/>
      <c r="G6" s="1"/>
      <c r="H6" s="3"/>
      <c r="I6" s="4"/>
    </row>
    <row r="7" spans="1:9" ht="74.099999999999994" customHeight="1">
      <c r="A7" s="1"/>
      <c r="D7"/>
      <c r="F7" s="1"/>
      <c r="G7" s="1"/>
      <c r="H7" s="3"/>
      <c r="I7" s="4"/>
    </row>
    <row r="8" spans="1:9" ht="74.099999999999994" customHeight="1">
      <c r="A8" s="1"/>
      <c r="D8"/>
      <c r="F8" s="1"/>
      <c r="G8" s="1"/>
      <c r="H8" s="3"/>
      <c r="I8" s="4"/>
    </row>
    <row r="9" spans="1:9" ht="74.099999999999994" customHeight="1">
      <c r="A9" s="1"/>
      <c r="D9"/>
      <c r="F9" s="1"/>
      <c r="G9" s="1"/>
      <c r="H9" s="3"/>
      <c r="I9" s="4"/>
    </row>
    <row r="10" spans="1:9" ht="74.099999999999994" customHeight="1">
      <c r="A10" s="1"/>
      <c r="D10"/>
      <c r="F10" s="1"/>
      <c r="G10" s="1"/>
      <c r="H10" s="3"/>
      <c r="I10" s="4"/>
    </row>
    <row r="11" spans="1:9" ht="74.099999999999994" customHeight="1">
      <c r="A11" s="1"/>
      <c r="D11"/>
      <c r="F11" s="1"/>
      <c r="G11" s="1"/>
      <c r="H11" s="3"/>
      <c r="I11" s="4"/>
    </row>
    <row r="12" spans="1:9" ht="74.099999999999994" customHeight="1">
      <c r="A12" s="1"/>
      <c r="D12"/>
      <c r="F12" s="1"/>
      <c r="G12" s="1"/>
      <c r="H12" s="3"/>
      <c r="I12" s="4"/>
    </row>
    <row r="13" spans="1:9">
      <c r="A13" s="4"/>
      <c r="B13" s="5"/>
      <c r="C13" s="4"/>
      <c r="D13" s="6"/>
    </row>
    <row r="14" spans="1:9">
      <c r="A14" s="4"/>
      <c r="B14" s="4"/>
      <c r="C14" s="4"/>
      <c r="D14" s="6"/>
    </row>
    <row r="15" spans="1:9">
      <c r="A15" s="4"/>
      <c r="B15" s="5"/>
      <c r="C15" s="4"/>
      <c r="D15" s="6"/>
    </row>
    <row r="16" spans="1:9">
      <c r="A16" s="4"/>
      <c r="B16" s="5"/>
      <c r="C16" s="4"/>
      <c r="D16" s="6"/>
    </row>
    <row r="17" spans="1:4">
      <c r="A17" s="4"/>
      <c r="B17" s="4"/>
      <c r="C17" s="4"/>
      <c r="D17" s="6"/>
    </row>
    <row r="18" spans="1:4">
      <c r="A18" s="4"/>
      <c r="B18" s="5"/>
      <c r="C18" s="4"/>
      <c r="D18" s="6"/>
    </row>
    <row r="19" spans="1:4">
      <c r="A19" s="4"/>
      <c r="B19" s="5"/>
      <c r="C19" s="4"/>
      <c r="D19" s="6"/>
    </row>
    <row r="20" spans="1:4">
      <c r="A20" s="4"/>
      <c r="B20" s="4"/>
      <c r="C20" s="4"/>
      <c r="D20" s="6"/>
    </row>
    <row r="21" spans="1:4">
      <c r="A21" s="4"/>
      <c r="B21" s="4"/>
      <c r="C21" s="4"/>
      <c r="D21" s="6"/>
    </row>
    <row r="22" spans="1:4">
      <c r="A22" s="4"/>
      <c r="B22" s="5"/>
      <c r="C22" s="4"/>
      <c r="D22" s="6"/>
    </row>
    <row r="23" spans="1:4">
      <c r="A23" s="4"/>
      <c r="B23" s="5"/>
      <c r="C23" s="4"/>
      <c r="D23" s="6"/>
    </row>
  </sheetData>
  <pageMargins left="0.78749999999999998" right="0.78749999999999998" top="1.05277777777778" bottom="1.05277777777778" header="0.78749999999999998" footer="0.78749999999999998"/>
  <pageSetup orientation="portrait" horizontalDpi="300" verticalDpi="300"/>
  <headerFooter>
    <oddHeader>&amp;C&amp;"Times New Roman,Normal"&amp;12&amp;Kffffff&amp;A</oddHeader>
    <oddFooter>&amp;C&amp;"Times New Roman,Normal"&amp;12&amp;KffffffPage &amp;P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2:M1048554"/>
  <sheetViews>
    <sheetView zoomScaleNormal="100" workbookViewId="0">
      <selection activeCell="B19" sqref="B19:F19"/>
    </sheetView>
  </sheetViews>
  <sheetFormatPr defaultColWidth="8.5703125" defaultRowHeight="13.9"/>
  <cols>
    <col min="1" max="1" width="20" customWidth="1"/>
    <col min="3" max="3" width="20" bestFit="1" customWidth="1"/>
    <col min="4" max="4" width="10.7109375" customWidth="1"/>
    <col min="5" max="5" width="10.5703125" customWidth="1"/>
    <col min="6" max="6" width="14.5703125" bestFit="1" customWidth="1"/>
  </cols>
  <sheetData>
    <row r="2" spans="1:13">
      <c r="A2" s="13" t="s">
        <v>21</v>
      </c>
      <c r="B2" s="13"/>
      <c r="C2" s="13"/>
      <c r="D2" s="13"/>
      <c r="E2" s="13"/>
      <c r="F2" s="13"/>
    </row>
    <row r="4" spans="1:13" ht="20.100000000000001" customHeight="1">
      <c r="A4" s="14" t="s">
        <v>12</v>
      </c>
      <c r="B4" s="15"/>
      <c r="C4" s="15"/>
      <c r="D4" s="15"/>
      <c r="E4" s="15"/>
      <c r="F4" s="15"/>
    </row>
    <row r="5" spans="1:13" ht="14.85" customHeight="1">
      <c r="A5" s="16" t="s">
        <v>22</v>
      </c>
      <c r="B5" s="32" t="s">
        <v>23</v>
      </c>
      <c r="C5" s="32"/>
      <c r="D5" s="32"/>
      <c r="E5" s="17" t="s">
        <v>24</v>
      </c>
      <c r="F5" s="18" t="s">
        <v>25</v>
      </c>
      <c r="G5" s="7"/>
    </row>
    <row r="6" spans="1:13" ht="28.35" customHeight="1">
      <c r="A6" s="19" t="s">
        <v>2</v>
      </c>
      <c r="B6" s="32" t="s">
        <v>26</v>
      </c>
      <c r="C6" s="32"/>
      <c r="D6" s="32"/>
      <c r="E6" s="17">
        <v>4</v>
      </c>
      <c r="F6" s="17"/>
    </row>
    <row r="7" spans="1:13" ht="28.35" customHeight="1">
      <c r="A7" s="19" t="s">
        <v>27</v>
      </c>
      <c r="B7" s="32" t="s">
        <v>28</v>
      </c>
      <c r="C7" s="32"/>
      <c r="D7" s="32"/>
      <c r="E7" s="17">
        <v>4</v>
      </c>
      <c r="F7" s="17"/>
    </row>
    <row r="8" spans="1:13" ht="28.35" customHeight="1">
      <c r="A8" s="19" t="s">
        <v>29</v>
      </c>
      <c r="B8" s="32" t="s">
        <v>30</v>
      </c>
      <c r="C8" s="32"/>
      <c r="D8" s="32"/>
      <c r="E8" s="17">
        <v>4</v>
      </c>
      <c r="F8" s="17"/>
    </row>
    <row r="9" spans="1:13" ht="28.35" customHeight="1">
      <c r="A9" s="19" t="s">
        <v>31</v>
      </c>
      <c r="B9" s="32" t="s">
        <v>32</v>
      </c>
      <c r="C9" s="32"/>
      <c r="D9" s="32"/>
      <c r="E9" s="17">
        <v>4</v>
      </c>
      <c r="F9" s="17"/>
    </row>
    <row r="10" spans="1:13" ht="28.35" customHeight="1">
      <c r="A10" s="19" t="s">
        <v>33</v>
      </c>
      <c r="B10" s="32" t="s">
        <v>34</v>
      </c>
      <c r="C10" s="32"/>
      <c r="D10" s="32"/>
      <c r="E10" s="17">
        <v>4</v>
      </c>
      <c r="F10" s="17"/>
    </row>
    <row r="11" spans="1:13" ht="15">
      <c r="A11" s="18" t="s">
        <v>35</v>
      </c>
      <c r="B11" s="17"/>
      <c r="C11" s="17"/>
      <c r="D11" s="17"/>
      <c r="E11" s="17">
        <f>SUM(E6:E10)</f>
        <v>20</v>
      </c>
      <c r="F11" s="20">
        <f>SUM(F6:F10)</f>
        <v>0</v>
      </c>
    </row>
    <row r="12" spans="1:13" ht="15">
      <c r="A12" s="18" t="s">
        <v>36</v>
      </c>
      <c r="B12" s="33"/>
      <c r="C12" s="33"/>
      <c r="D12" s="33"/>
      <c r="E12" s="33"/>
      <c r="F12" s="33"/>
    </row>
    <row r="13" spans="1:13">
      <c r="A13" s="7"/>
    </row>
    <row r="14" spans="1:13" ht="14.85">
      <c r="A14" s="12" t="s">
        <v>13</v>
      </c>
      <c r="B14" s="11"/>
      <c r="C14" s="11"/>
      <c r="D14" s="11"/>
      <c r="E14" s="11"/>
      <c r="F14" s="11"/>
      <c r="G14" s="11"/>
      <c r="H14" s="11"/>
      <c r="I14" s="11"/>
      <c r="J14" s="11"/>
      <c r="K14" s="11"/>
      <c r="L14" s="11"/>
      <c r="M14" s="11"/>
    </row>
    <row r="15" spans="1:13" ht="15">
      <c r="A15" s="17" t="s">
        <v>22</v>
      </c>
      <c r="B15" s="17"/>
      <c r="C15" s="20" t="s">
        <v>37</v>
      </c>
      <c r="D15" s="20" t="s">
        <v>38</v>
      </c>
      <c r="E15" s="20" t="s">
        <v>39</v>
      </c>
      <c r="F15" s="20" t="s">
        <v>40</v>
      </c>
      <c r="G15" s="20" t="s">
        <v>41</v>
      </c>
      <c r="H15" s="20" t="s">
        <v>42</v>
      </c>
      <c r="I15" s="20" t="s">
        <v>43</v>
      </c>
      <c r="J15" s="20" t="s">
        <v>44</v>
      </c>
      <c r="K15" s="20" t="s">
        <v>45</v>
      </c>
      <c r="L15" s="20" t="s">
        <v>46</v>
      </c>
      <c r="M15" s="20" t="s">
        <v>47</v>
      </c>
    </row>
    <row r="16" spans="1:13" ht="15">
      <c r="A16" s="19" t="s">
        <v>48</v>
      </c>
      <c r="B16" s="17">
        <v>20</v>
      </c>
      <c r="C16" s="17">
        <f>SUM(D16:Q16)</f>
        <v>0</v>
      </c>
      <c r="D16" s="17"/>
      <c r="E16" s="17"/>
      <c r="F16" s="17"/>
      <c r="G16" s="17"/>
      <c r="H16" s="17"/>
      <c r="I16" s="17"/>
      <c r="J16" s="17"/>
      <c r="K16" s="17"/>
      <c r="L16" s="17"/>
      <c r="M16" s="17"/>
    </row>
    <row r="17" spans="1:13" ht="15">
      <c r="A17" s="21" t="s">
        <v>49</v>
      </c>
      <c r="B17" s="17">
        <v>20</v>
      </c>
      <c r="C17" s="17">
        <f>SUM(D17:Q17)</f>
        <v>0</v>
      </c>
      <c r="D17" s="17"/>
      <c r="E17" s="17"/>
      <c r="F17" s="17"/>
      <c r="G17" s="17"/>
      <c r="H17" s="17"/>
      <c r="I17" s="17"/>
      <c r="J17" s="17"/>
      <c r="K17" s="17"/>
      <c r="L17" s="17"/>
      <c r="M17" s="17"/>
    </row>
    <row r="18" spans="1:13" ht="15">
      <c r="A18" s="20" t="s">
        <v>35</v>
      </c>
      <c r="B18" s="17">
        <f>SUM(B16:B17)</f>
        <v>40</v>
      </c>
      <c r="C18" s="17">
        <f>SUM(D18:Q18)</f>
        <v>0</v>
      </c>
      <c r="D18" s="17"/>
      <c r="E18" s="17"/>
      <c r="F18" s="17"/>
      <c r="G18" s="17"/>
      <c r="H18" s="17"/>
      <c r="I18" s="17"/>
      <c r="J18" s="17"/>
      <c r="K18" s="17"/>
      <c r="L18" s="17"/>
      <c r="M18" s="17"/>
    </row>
    <row r="19" spans="1:13" ht="15">
      <c r="A19" s="7" t="s">
        <v>36</v>
      </c>
      <c r="B19" s="34"/>
      <c r="C19" s="34"/>
      <c r="D19" s="34"/>
      <c r="E19" s="34"/>
      <c r="F19" s="34"/>
    </row>
    <row r="21" spans="1:13" ht="26.1" customHeight="1">
      <c r="A21" s="10" t="s">
        <v>14</v>
      </c>
      <c r="B21" s="11"/>
      <c r="C21" s="11"/>
      <c r="D21" s="11"/>
      <c r="E21" s="11"/>
      <c r="F21" s="11"/>
    </row>
    <row r="22" spans="1:13" ht="15">
      <c r="A22" s="22" t="s">
        <v>50</v>
      </c>
      <c r="B22" s="17" t="s">
        <v>51</v>
      </c>
      <c r="C22" s="17" t="s">
        <v>52</v>
      </c>
      <c r="D22" s="17" t="s">
        <v>53</v>
      </c>
      <c r="E22" s="17" t="s">
        <v>24</v>
      </c>
      <c r="F22" s="20" t="s">
        <v>25</v>
      </c>
    </row>
    <row r="23" spans="1:13" ht="15">
      <c r="A23" s="23" t="s">
        <v>54</v>
      </c>
      <c r="B23" s="24">
        <v>4</v>
      </c>
      <c r="C23" s="24">
        <v>2</v>
      </c>
      <c r="D23" s="24">
        <v>1</v>
      </c>
      <c r="E23" s="24">
        <v>4</v>
      </c>
      <c r="F23" s="24"/>
    </row>
    <row r="24" spans="1:13">
      <c r="A24" s="24" t="s">
        <v>55</v>
      </c>
      <c r="B24" s="24">
        <v>4</v>
      </c>
      <c r="C24" s="24">
        <v>2</v>
      </c>
      <c r="D24" s="24">
        <v>1</v>
      </c>
      <c r="E24" s="24">
        <v>4</v>
      </c>
      <c r="F24" s="24"/>
    </row>
    <row r="25" spans="1:13" ht="30.75">
      <c r="A25" s="25" t="s">
        <v>56</v>
      </c>
      <c r="B25" s="26">
        <v>4</v>
      </c>
      <c r="C25" s="26">
        <v>2</v>
      </c>
      <c r="D25" s="26">
        <v>1</v>
      </c>
      <c r="E25" s="26">
        <v>4</v>
      </c>
      <c r="F25" s="24"/>
    </row>
    <row r="26" spans="1:13">
      <c r="A26" s="27" t="s">
        <v>57</v>
      </c>
      <c r="B26" s="27">
        <v>5</v>
      </c>
      <c r="C26" s="27">
        <v>3</v>
      </c>
      <c r="D26" s="27">
        <v>1</v>
      </c>
      <c r="E26" s="27">
        <v>5</v>
      </c>
      <c r="F26" s="28"/>
    </row>
    <row r="27" spans="1:13">
      <c r="A27" s="28" t="s">
        <v>58</v>
      </c>
      <c r="B27" s="28">
        <v>5</v>
      </c>
      <c r="C27" s="28">
        <v>3</v>
      </c>
      <c r="D27" s="28">
        <v>1</v>
      </c>
      <c r="E27" s="28">
        <v>5</v>
      </c>
      <c r="F27" s="28"/>
    </row>
    <row r="28" spans="1:13">
      <c r="A28" s="28" t="s">
        <v>59</v>
      </c>
      <c r="B28" s="28">
        <v>3</v>
      </c>
      <c r="C28" s="28">
        <v>2</v>
      </c>
      <c r="D28" s="28">
        <v>1</v>
      </c>
      <c r="E28" s="28">
        <v>3</v>
      </c>
      <c r="F28" s="28"/>
    </row>
    <row r="29" spans="1:13">
      <c r="A29" s="28" t="s">
        <v>60</v>
      </c>
      <c r="B29" s="28">
        <v>3</v>
      </c>
      <c r="C29" s="28">
        <v>2</v>
      </c>
      <c r="D29" s="28">
        <v>1</v>
      </c>
      <c r="E29" s="28">
        <v>3</v>
      </c>
      <c r="F29" s="28"/>
    </row>
    <row r="30" spans="1:13" ht="30.75">
      <c r="A30" s="25" t="s">
        <v>61</v>
      </c>
      <c r="B30" s="26">
        <v>3</v>
      </c>
      <c r="C30" s="26">
        <v>2</v>
      </c>
      <c r="D30" s="26">
        <v>1</v>
      </c>
      <c r="E30" s="26">
        <v>3</v>
      </c>
      <c r="F30" s="24"/>
    </row>
    <row r="31" spans="1:13" ht="15">
      <c r="A31" s="23" t="s">
        <v>62</v>
      </c>
      <c r="B31" s="24">
        <v>3</v>
      </c>
      <c r="C31" s="24">
        <v>2</v>
      </c>
      <c r="D31" s="24">
        <v>1</v>
      </c>
      <c r="E31" s="24">
        <v>3</v>
      </c>
      <c r="F31" s="24"/>
    </row>
    <row r="32" spans="1:13" ht="30.75">
      <c r="A32" s="25" t="s">
        <v>63</v>
      </c>
      <c r="B32" s="26">
        <v>2</v>
      </c>
      <c r="C32" s="26">
        <v>1</v>
      </c>
      <c r="D32" s="26">
        <v>0</v>
      </c>
      <c r="E32" s="26">
        <v>2</v>
      </c>
      <c r="F32" s="24"/>
    </row>
    <row r="33" spans="1:6">
      <c r="A33" s="28" t="s">
        <v>64</v>
      </c>
      <c r="B33" s="28">
        <v>1</v>
      </c>
      <c r="C33" s="27">
        <v>0.5</v>
      </c>
      <c r="D33" s="28">
        <v>0</v>
      </c>
      <c r="E33" s="28">
        <v>1</v>
      </c>
      <c r="F33" s="28"/>
    </row>
    <row r="34" spans="1:6">
      <c r="A34" s="27" t="s">
        <v>65</v>
      </c>
      <c r="B34" s="27">
        <v>1</v>
      </c>
      <c r="C34" s="27">
        <v>0.5</v>
      </c>
      <c r="D34" s="27">
        <v>0</v>
      </c>
      <c r="E34" s="27">
        <v>1</v>
      </c>
      <c r="F34" s="28"/>
    </row>
    <row r="35" spans="1:6">
      <c r="A35" s="27" t="s">
        <v>66</v>
      </c>
      <c r="B35" s="27">
        <v>2</v>
      </c>
      <c r="C35" s="27">
        <v>1</v>
      </c>
      <c r="D35" s="27">
        <v>0</v>
      </c>
      <c r="E35" s="27">
        <v>2</v>
      </c>
      <c r="F35" s="28"/>
    </row>
    <row r="36" spans="1:6" ht="15">
      <c r="A36" s="24" t="s">
        <v>35</v>
      </c>
      <c r="B36" s="24"/>
      <c r="C36" s="24"/>
      <c r="D36" s="24"/>
      <c r="E36" s="24">
        <f>SUM(E23:E35)</f>
        <v>40</v>
      </c>
      <c r="F36" s="29">
        <f>SUM(F23:F35)</f>
        <v>0</v>
      </c>
    </row>
    <row r="37" spans="1:6" ht="23.25" customHeight="1">
      <c r="A37" s="18" t="s">
        <v>36</v>
      </c>
      <c r="B37" s="35"/>
      <c r="C37" s="33"/>
      <c r="D37" s="33"/>
      <c r="E37" s="33"/>
      <c r="F37" s="33"/>
    </row>
    <row r="1048554" ht="12.75"/>
  </sheetData>
  <mergeCells count="9">
    <mergeCell ref="B10:D10"/>
    <mergeCell ref="B12:F12"/>
    <mergeCell ref="B19:F19"/>
    <mergeCell ref="B37:F37"/>
    <mergeCell ref="B5:D5"/>
    <mergeCell ref="B6:D6"/>
    <mergeCell ref="B7:D7"/>
    <mergeCell ref="B8:D8"/>
    <mergeCell ref="B9:D9"/>
  </mergeCells>
  <dataValidations count="1">
    <dataValidation type="list" allowBlank="1" sqref="F23:F35" xr:uid="{00000000-0002-0000-0200-000000000000}">
      <formula1>"Excellent,Satisfaisant,À améliorer"</formula1>
      <formula2>0</formula2>
    </dataValidation>
  </dataValidations>
  <pageMargins left="0.75" right="0.75" top="1" bottom="1" header="0.511811023622047" footer="0.511811023622047"/>
  <pageSetup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D36"/>
  <sheetViews>
    <sheetView zoomScaleNormal="100" workbookViewId="0">
      <selection activeCell="E5" sqref="E5"/>
    </sheetView>
  </sheetViews>
  <sheetFormatPr defaultColWidth="9.140625" defaultRowHeight="12.75"/>
  <cols>
    <col min="2" max="2" width="15.5703125" customWidth="1"/>
    <col min="4" max="4" width="16.7109375" bestFit="1" customWidth="1"/>
  </cols>
  <sheetData>
    <row r="1" spans="1:4" ht="27.95">
      <c r="A1" s="8" t="s">
        <v>67</v>
      </c>
      <c r="B1" s="8" t="s">
        <v>68</v>
      </c>
      <c r="D1" t="s">
        <v>69</v>
      </c>
    </row>
    <row r="2" spans="1:4" ht="137.25">
      <c r="A2" s="4" t="s">
        <v>70</v>
      </c>
      <c r="B2" s="4" t="s">
        <v>71</v>
      </c>
      <c r="C2" t="s">
        <v>72</v>
      </c>
      <c r="D2">
        <v>4.3</v>
      </c>
    </row>
    <row r="3" spans="1:4" ht="82.15">
      <c r="A3" s="4" t="s">
        <v>73</v>
      </c>
      <c r="B3" s="4" t="s">
        <v>74</v>
      </c>
      <c r="C3" t="s">
        <v>75</v>
      </c>
      <c r="D3">
        <v>4</v>
      </c>
    </row>
    <row r="4" spans="1:4" ht="82.15">
      <c r="A4" s="4" t="s">
        <v>76</v>
      </c>
      <c r="B4" s="4" t="s">
        <v>77</v>
      </c>
      <c r="C4" t="s">
        <v>78</v>
      </c>
      <c r="D4">
        <v>3.7</v>
      </c>
    </row>
    <row r="5" spans="1:4" ht="68.45">
      <c r="A5" s="4" t="s">
        <v>79</v>
      </c>
      <c r="B5" s="4" t="s">
        <v>80</v>
      </c>
      <c r="C5" t="s">
        <v>81</v>
      </c>
      <c r="D5">
        <v>3.3</v>
      </c>
    </row>
    <row r="6" spans="1:4" ht="68.45">
      <c r="A6" s="4" t="s">
        <v>82</v>
      </c>
      <c r="B6" s="4" t="s">
        <v>83</v>
      </c>
      <c r="C6" t="s">
        <v>84</v>
      </c>
      <c r="D6">
        <v>3</v>
      </c>
    </row>
    <row r="7" spans="1:4" ht="68.45">
      <c r="A7" s="4" t="s">
        <v>85</v>
      </c>
      <c r="B7" s="4" t="s">
        <v>86</v>
      </c>
      <c r="C7" t="s">
        <v>87</v>
      </c>
      <c r="D7">
        <v>2.7</v>
      </c>
    </row>
    <row r="8" spans="1:4" ht="54.75">
      <c r="A8" s="4" t="s">
        <v>88</v>
      </c>
      <c r="B8" s="4" t="s">
        <v>89</v>
      </c>
      <c r="C8" t="s">
        <v>90</v>
      </c>
      <c r="D8">
        <v>2.2999999999999998</v>
      </c>
    </row>
    <row r="9" spans="1:4" ht="82.15">
      <c r="A9" s="4" t="s">
        <v>91</v>
      </c>
      <c r="B9" s="4" t="s">
        <v>92</v>
      </c>
      <c r="C9" t="s">
        <v>93</v>
      </c>
      <c r="D9">
        <v>2</v>
      </c>
    </row>
    <row r="10" spans="1:4" ht="95.1">
      <c r="A10" s="4" t="s">
        <v>94</v>
      </c>
      <c r="B10" s="4" t="s">
        <v>95</v>
      </c>
      <c r="C10" t="s">
        <v>96</v>
      </c>
      <c r="D10">
        <v>1.7</v>
      </c>
    </row>
    <row r="11" spans="1:4" ht="82.15">
      <c r="A11" s="4" t="s">
        <v>97</v>
      </c>
      <c r="B11" s="4" t="s">
        <v>98</v>
      </c>
      <c r="C11" t="s">
        <v>99</v>
      </c>
      <c r="D11">
        <v>1.3</v>
      </c>
    </row>
    <row r="12" spans="1:4" ht="68.45">
      <c r="A12" s="4" t="s">
        <v>100</v>
      </c>
      <c r="B12" s="4" t="s">
        <v>101</v>
      </c>
      <c r="C12" t="s">
        <v>102</v>
      </c>
      <c r="D12">
        <v>1</v>
      </c>
    </row>
    <row r="13" spans="1:4" ht="95.1">
      <c r="A13" s="4" t="s">
        <v>103</v>
      </c>
      <c r="B13" s="4" t="s">
        <v>104</v>
      </c>
      <c r="C13" t="s">
        <v>105</v>
      </c>
      <c r="D13">
        <v>0.5</v>
      </c>
    </row>
    <row r="14" spans="1:4" ht="68.45">
      <c r="A14" s="4" t="s">
        <v>106</v>
      </c>
      <c r="B14" s="4" t="s">
        <v>107</v>
      </c>
      <c r="C14" t="s">
        <v>108</v>
      </c>
      <c r="D14">
        <v>0</v>
      </c>
    </row>
    <row r="15" spans="1:4" ht="41.65">
      <c r="A15" s="4" t="s">
        <v>109</v>
      </c>
      <c r="B15" s="4" t="s">
        <v>110</v>
      </c>
      <c r="C15">
        <v>0</v>
      </c>
      <c r="D15">
        <v>0</v>
      </c>
    </row>
    <row r="22" spans="1:4" ht="41.85">
      <c r="A22" s="8" t="s">
        <v>111</v>
      </c>
      <c r="B22" s="8" t="s">
        <v>18</v>
      </c>
      <c r="C22" s="8" t="s">
        <v>112</v>
      </c>
      <c r="D22" s="8" t="s">
        <v>113</v>
      </c>
    </row>
    <row r="23" spans="1:4" ht="162.6">
      <c r="A23" s="4" t="s">
        <v>70</v>
      </c>
      <c r="B23" s="5"/>
      <c r="C23" s="4">
        <v>4.3</v>
      </c>
      <c r="D23" s="4" t="s">
        <v>114</v>
      </c>
    </row>
    <row r="24" spans="1:4" ht="189.6">
      <c r="A24" s="4" t="s">
        <v>73</v>
      </c>
      <c r="B24" s="4" t="s">
        <v>51</v>
      </c>
      <c r="C24" s="4">
        <v>4</v>
      </c>
      <c r="D24" s="4" t="s">
        <v>115</v>
      </c>
    </row>
    <row r="25" spans="1:4" ht="14.85">
      <c r="A25" s="4" t="s">
        <v>76</v>
      </c>
      <c r="B25" s="5"/>
      <c r="C25" s="4">
        <v>3.7</v>
      </c>
      <c r="D25" s="5"/>
    </row>
    <row r="26" spans="1:4" ht="14.85">
      <c r="A26" s="4" t="s">
        <v>79</v>
      </c>
      <c r="B26" s="5"/>
      <c r="C26" s="4">
        <v>3.3</v>
      </c>
      <c r="D26" s="5"/>
    </row>
    <row r="27" spans="1:4" ht="229.9">
      <c r="A27" s="4" t="s">
        <v>82</v>
      </c>
      <c r="B27" s="4" t="s">
        <v>116</v>
      </c>
      <c r="C27" s="4">
        <v>3</v>
      </c>
      <c r="D27" s="4" t="s">
        <v>117</v>
      </c>
    </row>
    <row r="28" spans="1:4" ht="14.85">
      <c r="A28" s="4" t="s">
        <v>85</v>
      </c>
      <c r="B28" s="5"/>
      <c r="C28" s="4">
        <v>2.7</v>
      </c>
      <c r="D28" s="5"/>
    </row>
    <row r="29" spans="1:4" ht="14.85">
      <c r="A29" s="4" t="s">
        <v>88</v>
      </c>
      <c r="B29" s="5"/>
      <c r="C29" s="4">
        <v>2.2999999999999998</v>
      </c>
      <c r="D29" s="5"/>
    </row>
    <row r="30" spans="1:4" ht="256.7">
      <c r="A30" s="4" t="s">
        <v>91</v>
      </c>
      <c r="B30" s="4" t="s">
        <v>118</v>
      </c>
      <c r="C30" s="4">
        <v>2</v>
      </c>
      <c r="D30" s="4" t="s">
        <v>119</v>
      </c>
    </row>
    <row r="31" spans="1:4" ht="14.85">
      <c r="A31" s="4" t="s">
        <v>94</v>
      </c>
      <c r="B31" s="5"/>
      <c r="C31" s="4">
        <v>1.7</v>
      </c>
      <c r="D31" s="5"/>
    </row>
    <row r="32" spans="1:4" ht="14.85">
      <c r="A32" s="4" t="s">
        <v>97</v>
      </c>
      <c r="B32" s="5"/>
      <c r="C32" s="4">
        <v>1.3</v>
      </c>
      <c r="D32" s="5"/>
    </row>
    <row r="33" spans="1:4" ht="229.9">
      <c r="A33" s="4" t="s">
        <v>100</v>
      </c>
      <c r="B33" s="4" t="s">
        <v>120</v>
      </c>
      <c r="C33" s="4">
        <v>1</v>
      </c>
      <c r="D33" s="4" t="s">
        <v>121</v>
      </c>
    </row>
    <row r="34" spans="1:4" ht="149.25">
      <c r="A34" s="4" t="s">
        <v>103</v>
      </c>
      <c r="B34" s="4" t="s">
        <v>122</v>
      </c>
      <c r="C34" s="4">
        <v>0.5</v>
      </c>
      <c r="D34" s="4" t="s">
        <v>123</v>
      </c>
    </row>
    <row r="35" spans="1:4" ht="310.35000000000002">
      <c r="A35" s="4" t="s">
        <v>106</v>
      </c>
      <c r="B35" s="5"/>
      <c r="C35" s="4">
        <v>0</v>
      </c>
      <c r="D35" s="4" t="s">
        <v>124</v>
      </c>
    </row>
    <row r="36" spans="1:4" ht="68.650000000000006">
      <c r="A36" s="4" t="s">
        <v>109</v>
      </c>
      <c r="B36" s="5"/>
      <c r="C36" s="4">
        <v>0</v>
      </c>
      <c r="D36" s="4" t="s">
        <v>125</v>
      </c>
    </row>
  </sheetData>
  <pageMargins left="0.78749999999999998" right="0.78749999999999998" top="1.05277777777778" bottom="1.05277777777778" header="0.78749999999999998" footer="0.78749999999999998"/>
  <pageSetup orientation="portrait" horizontalDpi="300" verticalDpi="300"/>
  <headerFooter>
    <oddHeader>&amp;C&amp;"Times New Roman,Normal"&amp;12&amp;Kffffff&amp;A</oddHeader>
    <oddFooter>&amp;C&amp;"Times New Roman,Normal"&amp;12&amp;KffffffPage &amp;P</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7D009F-2C66-42C9-9E98-1B46014440D6}">
  <dimension ref="A1:AH35"/>
  <sheetViews>
    <sheetView workbookViewId="0">
      <selection activeCell="E31" sqref="E31"/>
    </sheetView>
  </sheetViews>
  <sheetFormatPr defaultRowHeight="15"/>
  <cols>
    <col min="1" max="1" width="9.140625" style="30"/>
    <col min="5" max="5" width="26" bestFit="1" customWidth="1"/>
  </cols>
  <sheetData>
    <row r="1" spans="1:34">
      <c r="A1" s="30" t="s">
        <v>126</v>
      </c>
      <c r="B1" t="s">
        <v>111</v>
      </c>
      <c r="C1" t="s">
        <v>127</v>
      </c>
      <c r="D1" t="s">
        <v>128</v>
      </c>
      <c r="E1" t="s">
        <v>129</v>
      </c>
    </row>
    <row r="2" spans="1:34">
      <c r="A2" s="30">
        <v>90</v>
      </c>
      <c r="B2" t="s">
        <v>70</v>
      </c>
      <c r="C2">
        <v>4.3</v>
      </c>
      <c r="E2" t="s">
        <v>130</v>
      </c>
      <c r="X2" t="s">
        <v>131</v>
      </c>
    </row>
    <row r="3" spans="1:34">
      <c r="A3" s="30">
        <v>85</v>
      </c>
      <c r="B3" t="s">
        <v>73</v>
      </c>
      <c r="C3">
        <v>4</v>
      </c>
      <c r="E3" t="s">
        <v>130</v>
      </c>
      <c r="Z3" t="s">
        <v>131</v>
      </c>
    </row>
    <row r="4" spans="1:34">
      <c r="A4" s="30">
        <v>80</v>
      </c>
      <c r="B4" t="s">
        <v>132</v>
      </c>
      <c r="C4">
        <v>3.7</v>
      </c>
      <c r="E4" t="s">
        <v>130</v>
      </c>
      <c r="Y4" t="s">
        <v>131</v>
      </c>
    </row>
    <row r="5" spans="1:34">
      <c r="A5" s="30">
        <v>77</v>
      </c>
      <c r="B5" t="s">
        <v>79</v>
      </c>
      <c r="C5">
        <v>3.3</v>
      </c>
      <c r="E5" t="s">
        <v>133</v>
      </c>
      <c r="AG5" t="s">
        <v>131</v>
      </c>
    </row>
    <row r="6" spans="1:34">
      <c r="A6" s="30">
        <v>73</v>
      </c>
      <c r="B6" t="s">
        <v>82</v>
      </c>
      <c r="C6">
        <v>3</v>
      </c>
      <c r="E6" t="s">
        <v>133</v>
      </c>
      <c r="AH6" t="s">
        <v>131</v>
      </c>
    </row>
    <row r="7" spans="1:34">
      <c r="A7" s="30">
        <v>70</v>
      </c>
      <c r="B7" t="s">
        <v>134</v>
      </c>
      <c r="C7">
        <v>2.7</v>
      </c>
      <c r="E7" t="s">
        <v>133</v>
      </c>
      <c r="AG7" t="s">
        <v>131</v>
      </c>
    </row>
    <row r="8" spans="1:34">
      <c r="A8" s="30">
        <v>65</v>
      </c>
      <c r="B8" t="s">
        <v>88</v>
      </c>
      <c r="C8">
        <v>2.2999999999999998</v>
      </c>
      <c r="E8" t="s">
        <v>135</v>
      </c>
      <c r="AF8" t="s">
        <v>131</v>
      </c>
    </row>
    <row r="9" spans="1:34">
      <c r="A9" s="30">
        <v>60</v>
      </c>
      <c r="B9" t="s">
        <v>91</v>
      </c>
      <c r="C9">
        <v>2</v>
      </c>
      <c r="E9" t="s">
        <v>135</v>
      </c>
      <c r="AG9" t="s">
        <v>131</v>
      </c>
    </row>
    <row r="10" spans="1:34">
      <c r="A10" s="30">
        <v>57</v>
      </c>
      <c r="B10" t="s">
        <v>136</v>
      </c>
      <c r="C10">
        <v>1.7</v>
      </c>
      <c r="E10" t="s">
        <v>135</v>
      </c>
      <c r="AF10" t="s">
        <v>131</v>
      </c>
    </row>
    <row r="11" spans="1:34">
      <c r="A11" s="30">
        <v>54</v>
      </c>
      <c r="B11" t="s">
        <v>97</v>
      </c>
      <c r="C11">
        <v>1.3</v>
      </c>
      <c r="E11" t="s">
        <v>137</v>
      </c>
      <c r="AD11" t="s">
        <v>131</v>
      </c>
    </row>
    <row r="12" spans="1:34">
      <c r="A12" s="30">
        <v>50</v>
      </c>
      <c r="B12" t="s">
        <v>100</v>
      </c>
      <c r="C12">
        <v>1</v>
      </c>
      <c r="E12" t="s">
        <v>137</v>
      </c>
      <c r="AE12" t="s">
        <v>131</v>
      </c>
    </row>
    <row r="13" spans="1:34">
      <c r="A13" s="30">
        <v>35</v>
      </c>
      <c r="B13" t="s">
        <v>103</v>
      </c>
      <c r="C13">
        <v>0.5</v>
      </c>
      <c r="E13" t="s">
        <v>138</v>
      </c>
      <c r="Z13" t="s">
        <v>131</v>
      </c>
    </row>
    <row r="14" spans="1:34">
      <c r="A14" s="30">
        <v>0</v>
      </c>
      <c r="B14" t="s">
        <v>106</v>
      </c>
      <c r="C14">
        <v>0</v>
      </c>
      <c r="E14" t="s">
        <v>139</v>
      </c>
      <c r="AD14" t="s">
        <v>131</v>
      </c>
    </row>
    <row r="35" spans="5:5">
      <c r="E35" t="s">
        <v>140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
  <cp:revision>3</cp:revision>
  <dcterms:created xsi:type="dcterms:W3CDTF">2026-01-05T23:23:47Z</dcterms:created>
  <dcterms:modified xsi:type="dcterms:W3CDTF">2026-09-09T15:44:58Z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ProgId">
    <vt:lpwstr>Excel.Sheet</vt:lpwstr>
  </property>
</Properties>
</file>